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cruz\Desktop\HTML\"/>
    </mc:Choice>
  </mc:AlternateContent>
  <bookViews>
    <workbookView xWindow="0" yWindow="0" windowWidth="28800" windowHeight="12435"/>
  </bookViews>
  <sheets>
    <sheet name="README" sheetId="2" r:id="rId1"/>
    <sheet name="Example" sheetId="1" r:id="rId2"/>
  </sheets>
  <functionGroups builtInGroupCount="18"/>
  <externalReferences>
    <externalReference r:id="rId3"/>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9" i="1" l="1"/>
  <c r="T10" i="1"/>
  <c r="T11" i="1"/>
  <c r="T12" i="1"/>
  <c r="T13" i="1"/>
  <c r="N9" i="1"/>
  <c r="N10" i="1"/>
  <c r="N11" i="1"/>
  <c r="N12" i="1"/>
  <c r="N13" i="1"/>
  <c r="K9" i="1"/>
  <c r="K10" i="1"/>
  <c r="K11" i="1"/>
  <c r="K12" i="1"/>
  <c r="K13" i="1"/>
  <c r="L15" i="2"/>
  <c r="A9" i="1"/>
  <c r="A10" i="1"/>
  <c r="A11" i="1"/>
  <c r="A12" i="1"/>
  <c r="A13" i="1"/>
  <c r="C9" i="1" l="1"/>
  <c r="R9" i="1"/>
  <c r="C10" i="1"/>
  <c r="R10" i="1"/>
  <c r="C11" i="1"/>
  <c r="R11" i="1"/>
  <c r="C12" i="1"/>
  <c r="R12" i="1"/>
  <c r="C13" i="1"/>
  <c r="R13" i="1"/>
  <c r="Y16" i="1"/>
  <c r="Y18" i="1"/>
  <c r="Y17" i="1" s="1"/>
  <c r="Y19" i="1" l="1"/>
</calcChain>
</file>

<file path=xl/sharedStrings.xml><?xml version="1.0" encoding="utf-8"?>
<sst xmlns="http://schemas.openxmlformats.org/spreadsheetml/2006/main" count="100" uniqueCount="68">
  <si>
    <t>Example</t>
  </si>
  <si>
    <t>Input Columns</t>
  </si>
  <si>
    <t>Merit/Cost of Living Information</t>
  </si>
  <si>
    <t>2017 Planning</t>
  </si>
  <si>
    <t>Increase Recommendation</t>
  </si>
  <si>
    <t>Last Increase Information</t>
  </si>
  <si>
    <t>a</t>
  </si>
  <si>
    <r>
      <t xml:space="preserve">Name
</t>
    </r>
    <r>
      <rPr>
        <sz val="11"/>
        <rFont val="Calibri"/>
        <family val="2"/>
        <scheme val="minor"/>
      </rPr>
      <t>Title</t>
    </r>
  </si>
  <si>
    <t>Name Title (eqn)</t>
  </si>
  <si>
    <t>Associate Name</t>
  </si>
  <si>
    <t>Start Date
(ReHire)</t>
  </si>
  <si>
    <t>Job Code Title</t>
  </si>
  <si>
    <t>Base</t>
  </si>
  <si>
    <t>Bonus
(Annual)</t>
  </si>
  <si>
    <t>Stock 
Annual Units)</t>
  </si>
  <si>
    <t>Stock 
Annual FMV)</t>
  </si>
  <si>
    <t>Increase
%</t>
  </si>
  <si>
    <t>Increase
$</t>
  </si>
  <si>
    <t>Recommended
New Annual
Base Salary</t>
  </si>
  <si>
    <t>Years
Since
Last
Increase</t>
  </si>
  <si>
    <t>Annual
Rate
Before
Increase</t>
  </si>
  <si>
    <t>Last
Pay Rate
Change
Date</t>
  </si>
  <si>
    <t>Reason</t>
  </si>
  <si>
    <t>Name Title</t>
  </si>
  <si>
    <t>Start Dt (ReHire)</t>
  </si>
  <si>
    <t>b</t>
  </si>
  <si>
    <t>Bonus (2016 Annual)</t>
  </si>
  <si>
    <t>Stock (2016 Annual Units)</t>
  </si>
  <si>
    <t>Stock (2016 Annual FMV)</t>
  </si>
  <si>
    <t>e</t>
  </si>
  <si>
    <t>Recommended New Annual Base Salary</t>
  </si>
  <si>
    <t>f</t>
  </si>
  <si>
    <t>Years Since Last Increase</t>
  </si>
  <si>
    <t>Annual Rate Before Increase</t>
  </si>
  <si>
    <t>Last Pay Rate Change Dt</t>
  </si>
  <si>
    <t>Increase % (Last)</t>
  </si>
  <si>
    <t>Increase $ (Last)</t>
  </si>
  <si>
    <r>
      <t xml:space="preserve">Smith,John
</t>
    </r>
    <r>
      <rPr>
        <sz val="11"/>
        <color theme="1"/>
        <rFont val="Calibri"/>
        <family val="2"/>
        <scheme val="minor"/>
      </rPr>
      <t>Sales Manager</t>
    </r>
  </si>
  <si>
    <t>Smith,John</t>
  </si>
  <si>
    <t>Sales Manager</t>
  </si>
  <si>
    <t/>
  </si>
  <si>
    <t>Promotion</t>
  </si>
  <si>
    <r>
      <t xml:space="preserve">Smith,John
</t>
    </r>
    <r>
      <rPr>
        <sz val="11"/>
        <color theme="1"/>
        <rFont val="Calibri"/>
        <family val="2"/>
        <scheme val="minor"/>
      </rPr>
      <t>Construction Manager</t>
    </r>
  </si>
  <si>
    <t>Construction Manager</t>
  </si>
  <si>
    <t>Transfer</t>
  </si>
  <si>
    <r>
      <t xml:space="preserve">Smith,John
</t>
    </r>
    <r>
      <rPr>
        <sz val="11"/>
        <color theme="1"/>
        <rFont val="Calibri"/>
        <family val="2"/>
        <scheme val="minor"/>
      </rPr>
      <t>VP Sales/Marketing</t>
    </r>
  </si>
  <si>
    <t>VP Sales/Marketing</t>
  </si>
  <si>
    <t>Market Adjustment</t>
  </si>
  <si>
    <r>
      <t xml:space="preserve">Smith,John
</t>
    </r>
    <r>
      <rPr>
        <sz val="11"/>
        <color theme="1"/>
        <rFont val="Calibri"/>
        <family val="2"/>
        <scheme val="minor"/>
      </rPr>
      <t>Director of Construction</t>
    </r>
  </si>
  <si>
    <t>Director of Construction</t>
  </si>
  <si>
    <t>Current Annual Salaries</t>
  </si>
  <si>
    <t>Recommended Merit (%)</t>
  </si>
  <si>
    <t>Recommended Merit ($)</t>
  </si>
  <si>
    <t>New Annual Salaries</t>
  </si>
  <si>
    <t>Total Cash</t>
  </si>
  <si>
    <t>Total Comp</t>
  </si>
  <si>
    <t>CurrentBase</t>
  </si>
  <si>
    <t>PctIncrease</t>
  </si>
  <si>
    <t>AmtIncrease</t>
  </si>
  <si>
    <t>Increase %</t>
  </si>
  <si>
    <t>Increase $</t>
  </si>
  <si>
    <t>Please 'Enable Content' if you haven't done so already.</t>
  </si>
  <si>
    <t>Return to the website here:</t>
  </si>
  <si>
    <t>Merit Increase Planning - Data Validation VBA</t>
  </si>
  <si>
    <t>Bonus (2016 Other)</t>
  </si>
  <si>
    <t>Bonus 
(Other, Commissions, etc)</t>
  </si>
  <si>
    <r>
      <t xml:space="preserve">The following macro is automatically activated when there is an update in the 'Example' Sheet. Whenever a percentage is entered in Column P, a dollar amount will appear in Column Q. And if the amount in Column Q is editted, the amount in Column P will change accordingly so that the math is always correct.
</t>
    </r>
    <r>
      <rPr>
        <b/>
        <u/>
        <sz val="14"/>
        <color theme="1"/>
        <rFont val="Calibri"/>
        <family val="2"/>
        <scheme val="minor"/>
      </rPr>
      <t>Backstory</t>
    </r>
    <r>
      <rPr>
        <sz val="11"/>
        <color theme="1"/>
        <rFont val="Calibri"/>
        <family val="2"/>
        <scheme val="minor"/>
      </rPr>
      <t xml:space="preserve">
This VBA was written as a response to difficulties the managers were having when planning the annual merit/cost of living increases. We used to only have a percentage column where the manager would enter the desired percentage and a formula would calculate the dollar amount. This would cause some frustration because if the manager wanted to adjust the dollar amount, they would have to work the calculation backwards in order to obtain the correct percentage to recommend. Or alternatively, they would only enter the new dollar amount, but not update the percentage so there would be a lot of errors and circling back to understand what the manager really wanted to recommend. My manager and I saw the need for a new solution and I was asked to create this code.
</t>
    </r>
    <r>
      <rPr>
        <b/>
        <u/>
        <sz val="14"/>
        <color theme="1"/>
        <rFont val="Calibri"/>
        <family val="2"/>
        <scheme val="minor"/>
      </rPr>
      <t>Result</t>
    </r>
    <r>
      <rPr>
        <sz val="11"/>
        <color theme="1"/>
        <rFont val="Calibri"/>
        <family val="2"/>
        <scheme val="minor"/>
      </rPr>
      <t xml:space="preserve">
The next year, this code was introduced and it was a great success! Not only did it save the multiple regions time in planning, but it secured a higher accuracy in the collection of recommendations. There have been much less errors since it was implemented.</t>
    </r>
  </si>
  <si>
    <t>2017 Merit/COL
Summary Information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</si>
</sst>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0.0%\);\ \-\-"/>
    <numFmt numFmtId="165" formatCode="mm/dd/yyyy;@"/>
    <numFmt numFmtId="166" formatCode="&quot;$&quot;#,##0_);[Red]\(&quot;$&quot;#,##0\);\ \ \-\-\ "/>
    <numFmt numFmtId="167" formatCode="#,##0_);[Red]\(#,##0\);\ \ \-\-\ "/>
    <numFmt numFmtId="169" formatCode="#,##0.0_);[Red]\(#,##0.0\)"/>
  </numFmts>
  <fonts count="2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8"/>
      <color theme="8" tint="-0.249977111117893"/>
      <name val="Calibri"/>
      <family val="2"/>
      <scheme val="minor"/>
    </font>
    <font>
      <b/>
      <sz val="24"/>
      <name val="Calibri"/>
      <family val="2"/>
      <scheme val="minor"/>
    </font>
    <font>
      <b/>
      <sz val="18"/>
      <color theme="1"/>
      <name val="Calibri"/>
      <family val="2"/>
      <scheme val="minor"/>
    </font>
    <font>
      <b/>
      <sz val="24"/>
      <color theme="1"/>
      <name val="Calibri"/>
      <family val="2"/>
      <scheme val="minor"/>
    </font>
    <font>
      <b/>
      <sz val="18"/>
      <color theme="0"/>
      <name val="Calibri"/>
      <family val="2"/>
      <scheme val="minor"/>
    </font>
    <font>
      <b/>
      <sz val="12"/>
      <name val="Calibri"/>
      <family val="2"/>
      <scheme val="minor"/>
    </font>
    <font>
      <b/>
      <sz val="13"/>
      <color theme="1"/>
      <name val="Calibri"/>
      <family val="2"/>
      <scheme val="minor"/>
    </font>
    <font>
      <sz val="12"/>
      <color theme="1"/>
      <name val="Calibri"/>
      <family val="2"/>
      <scheme val="minor"/>
    </font>
    <font>
      <b/>
      <sz val="11"/>
      <name val="Calibri"/>
      <family val="2"/>
      <scheme val="minor"/>
    </font>
    <font>
      <sz val="11"/>
      <name val="Calibri"/>
      <family val="2"/>
      <scheme val="minor"/>
    </font>
    <font>
      <b/>
      <sz val="12"/>
      <color theme="0"/>
      <name val="Calibri"/>
      <family val="2"/>
      <scheme val="minor"/>
    </font>
    <font>
      <b/>
      <sz val="8"/>
      <color theme="1"/>
      <name val="Calibri"/>
      <family val="2"/>
      <scheme val="minor"/>
    </font>
    <font>
      <sz val="8"/>
      <color indexed="12"/>
      <name val="Arial"/>
      <family val="2"/>
    </font>
    <font>
      <b/>
      <sz val="14"/>
      <color theme="0"/>
      <name val="Calibri"/>
      <family val="2"/>
      <scheme val="minor"/>
    </font>
    <font>
      <u/>
      <sz val="18"/>
      <color theme="1"/>
      <name val="Calibri"/>
      <family val="2"/>
      <scheme val="minor"/>
    </font>
    <font>
      <u/>
      <sz val="11"/>
      <color theme="10"/>
      <name val="Calibri"/>
      <family val="2"/>
      <scheme val="minor"/>
    </font>
    <font>
      <b/>
      <sz val="10"/>
      <color theme="1"/>
      <name val="Calibri"/>
      <family val="2"/>
      <scheme val="minor"/>
    </font>
    <font>
      <b/>
      <u/>
      <sz val="14"/>
      <color theme="1"/>
      <name val="Calibri"/>
      <family val="2"/>
      <scheme val="minor"/>
    </font>
  </fonts>
  <fills count="16">
    <fill>
      <patternFill patternType="none"/>
    </fill>
    <fill>
      <patternFill patternType="gray125"/>
    </fill>
    <fill>
      <patternFill patternType="solid">
        <fgColor rgb="FFFFF2CC"/>
        <bgColor indexed="64"/>
      </patternFill>
    </fill>
    <fill>
      <patternFill patternType="solid">
        <fgColor rgb="FF196934"/>
        <bgColor indexed="64"/>
      </patternFill>
    </fill>
    <fill>
      <patternFill patternType="solid">
        <fgColor theme="8" tint="-0.249977111117893"/>
        <bgColor indexed="64"/>
      </patternFill>
    </fill>
    <fill>
      <patternFill patternType="solid">
        <fgColor rgb="FFC6E0B4"/>
        <bgColor indexed="64"/>
      </patternFill>
    </fill>
    <fill>
      <patternFill patternType="solid">
        <fgColor rgb="FFC6E0B4"/>
        <bgColor theme="4"/>
      </patternFill>
    </fill>
    <fill>
      <patternFill patternType="solid">
        <fgColor rgb="FFFFFFCC"/>
        <bgColor indexed="64"/>
      </patternFill>
    </fill>
    <fill>
      <patternFill patternType="solid">
        <fgColor rgb="FF196934"/>
        <bgColor theme="4"/>
      </patternFill>
    </fill>
    <fill>
      <patternFill patternType="solid">
        <fgColor theme="0"/>
        <bgColor indexed="64"/>
      </patternFill>
    </fill>
    <fill>
      <patternFill patternType="solid">
        <fgColor rgb="FFCCFFCC"/>
        <bgColor indexed="64"/>
      </patternFill>
    </fill>
    <fill>
      <patternFill patternType="solid">
        <fgColor theme="7" tint="0.79998168889431442"/>
        <bgColor indexed="64"/>
      </patternFill>
    </fill>
    <fill>
      <patternFill patternType="solid">
        <fgColor rgb="FF0070C0"/>
        <bgColor indexed="64"/>
      </patternFill>
    </fill>
    <fill>
      <patternFill patternType="solid">
        <fgColor rgb="FFFF9999"/>
        <bgColor indexed="64"/>
      </patternFill>
    </fill>
    <fill>
      <patternFill patternType="solid">
        <fgColor theme="2"/>
        <bgColor indexed="64"/>
      </patternFill>
    </fill>
    <fill>
      <patternFill patternType="solid">
        <fgColor theme="8" tint="0.79998168889431442"/>
        <bgColor indexed="64"/>
      </patternFill>
    </fill>
  </fills>
  <borders count="10">
    <border>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style="thin">
        <color indexed="64"/>
      </bottom>
      <diagonal/>
    </border>
    <border>
      <left/>
      <right style="thin">
        <color auto="1"/>
      </right>
      <top/>
      <bottom style="thin">
        <color auto="1"/>
      </bottom>
      <diagonal/>
    </border>
    <border>
      <left/>
      <right/>
      <top/>
      <bottom style="thin">
        <color auto="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9" fontId="17" fillId="0" borderId="0">
      <alignment horizontal="right"/>
    </xf>
    <xf numFmtId="0" fontId="20" fillId="0" borderId="0" applyNumberFormat="0" applyFill="0" applyBorder="0" applyAlignment="0" applyProtection="0"/>
  </cellStyleXfs>
  <cellXfs count="79">
    <xf numFmtId="0" fontId="0" fillId="0" borderId="0" xfId="0"/>
    <xf numFmtId="0" fontId="5" fillId="0" borderId="0" xfId="0" applyFont="1" applyAlignment="1">
      <alignment vertical="top"/>
    </xf>
    <xf numFmtId="43" fontId="0" fillId="0" borderId="0" xfId="1" applyFont="1"/>
    <xf numFmtId="43" fontId="0" fillId="0" borderId="0" xfId="1" quotePrefix="1" applyFont="1"/>
    <xf numFmtId="0" fontId="0" fillId="0" borderId="0" xfId="0" applyFont="1" applyAlignment="1">
      <alignment horizontal="right" vertical="center"/>
    </xf>
    <xf numFmtId="0" fontId="5" fillId="0" borderId="0" xfId="0" applyFont="1" applyAlignment="1">
      <alignment vertical="center"/>
    </xf>
    <xf numFmtId="0" fontId="0" fillId="0" borderId="1" xfId="0" applyBorder="1"/>
    <xf numFmtId="0" fontId="7" fillId="3" borderId="4" xfId="0" applyFont="1" applyFill="1" applyBorder="1" applyAlignment="1"/>
    <xf numFmtId="0" fontId="0" fillId="3" borderId="6" xfId="0" applyFill="1" applyBorder="1"/>
    <xf numFmtId="0" fontId="0" fillId="3" borderId="4" xfId="0" applyFill="1" applyBorder="1"/>
    <xf numFmtId="0" fontId="0" fillId="0" borderId="0" xfId="0" applyAlignment="1"/>
    <xf numFmtId="0" fontId="0" fillId="5" borderId="6" xfId="0" applyFill="1" applyBorder="1" applyAlignment="1"/>
    <xf numFmtId="0" fontId="10" fillId="6" borderId="6" xfId="0" applyFont="1" applyFill="1" applyBorder="1" applyAlignment="1"/>
    <xf numFmtId="0" fontId="0" fillId="3" borderId="4" xfId="0" applyFill="1" applyBorder="1" applyAlignment="1"/>
    <xf numFmtId="0" fontId="12" fillId="3" borderId="4" xfId="0" applyFont="1" applyFill="1" applyBorder="1" applyAlignment="1">
      <alignment vertical="center"/>
    </xf>
    <xf numFmtId="0" fontId="2" fillId="0" borderId="0" xfId="0" applyFont="1" applyFill="1" applyBorder="1"/>
    <xf numFmtId="0" fontId="13" fillId="6" borderId="7" xfId="0" applyFont="1" applyFill="1" applyBorder="1" applyAlignment="1">
      <alignment wrapText="1"/>
    </xf>
    <xf numFmtId="0" fontId="13" fillId="6" borderId="7" xfId="0" applyFont="1" applyFill="1" applyBorder="1"/>
    <xf numFmtId="0" fontId="10" fillId="6" borderId="7" xfId="0" applyFont="1" applyFill="1" applyBorder="1" applyAlignment="1"/>
    <xf numFmtId="0" fontId="10" fillId="6" borderId="8" xfId="0" applyFont="1" applyFill="1" applyBorder="1" applyAlignment="1">
      <alignment horizontal="center" wrapText="1"/>
    </xf>
    <xf numFmtId="0" fontId="10" fillId="6" borderId="7" xfId="0" applyFont="1" applyFill="1" applyBorder="1"/>
    <xf numFmtId="0" fontId="15" fillId="8" borderId="4" xfId="0" applyFont="1" applyFill="1" applyBorder="1"/>
    <xf numFmtId="43" fontId="10" fillId="5" borderId="7" xfId="1" applyFont="1" applyFill="1" applyBorder="1" applyAlignment="1">
      <alignment horizontal="center" wrapText="1"/>
    </xf>
    <xf numFmtId="43" fontId="10" fillId="5" borderId="4" xfId="1" applyFont="1" applyFill="1" applyBorder="1" applyAlignment="1">
      <alignment horizontal="center" wrapText="1"/>
    </xf>
    <xf numFmtId="0" fontId="0" fillId="0" borderId="0" xfId="0" applyBorder="1"/>
    <xf numFmtId="0" fontId="16" fillId="0" borderId="0" xfId="0" applyFont="1" applyFill="1" applyBorder="1" applyAlignment="1">
      <alignment vertical="center"/>
    </xf>
    <xf numFmtId="0" fontId="4" fillId="0" borderId="0" xfId="0" applyFont="1" applyFill="1" applyBorder="1"/>
    <xf numFmtId="0" fontId="4" fillId="0" borderId="9" xfId="0" applyFont="1" applyFill="1" applyBorder="1"/>
    <xf numFmtId="164" fontId="4" fillId="0" borderId="9" xfId="0" applyNumberFormat="1" applyFont="1" applyFill="1" applyBorder="1"/>
    <xf numFmtId="165" fontId="4" fillId="0" borderId="9" xfId="0" applyNumberFormat="1" applyFont="1" applyFill="1" applyBorder="1"/>
    <xf numFmtId="0" fontId="0" fillId="9" borderId="1" xfId="0" applyNumberFormat="1" applyFill="1" applyBorder="1" applyAlignment="1">
      <alignment vertical="center"/>
    </xf>
    <xf numFmtId="0" fontId="3" fillId="0" borderId="4" xfId="0" applyFont="1" applyBorder="1" applyAlignment="1">
      <alignment vertical="center" wrapText="1"/>
    </xf>
    <xf numFmtId="0" fontId="0" fillId="0" borderId="4" xfId="0" applyNumberFormat="1" applyBorder="1" applyAlignment="1">
      <alignment vertical="center"/>
    </xf>
    <xf numFmtId="0" fontId="0" fillId="0" borderId="4" xfId="0" applyBorder="1" applyAlignment="1">
      <alignment vertical="center" wrapText="1"/>
    </xf>
    <xf numFmtId="165" fontId="1" fillId="0" borderId="4" xfId="1" applyNumberFormat="1" applyFont="1" applyBorder="1" applyAlignment="1">
      <alignment horizontal="center" vertical="center"/>
    </xf>
    <xf numFmtId="0" fontId="0" fillId="0" borderId="4" xfId="0" applyBorder="1" applyAlignment="1">
      <alignment vertical="center"/>
    </xf>
    <xf numFmtId="0" fontId="0" fillId="3" borderId="4" xfId="0" applyFill="1" applyBorder="1" applyAlignment="1">
      <alignment vertical="center"/>
    </xf>
    <xf numFmtId="166" fontId="0" fillId="0" borderId="4" xfId="1" applyNumberFormat="1" applyFont="1" applyBorder="1" applyAlignment="1">
      <alignment vertical="center"/>
    </xf>
    <xf numFmtId="166" fontId="1" fillId="0" borderId="4" xfId="1" applyNumberFormat="1" applyFont="1" applyBorder="1" applyAlignment="1">
      <alignment vertical="center"/>
    </xf>
    <xf numFmtId="167" fontId="0" fillId="0" borderId="4" xfId="1" applyNumberFormat="1" applyFont="1" applyBorder="1" applyAlignment="1">
      <alignment vertical="center"/>
    </xf>
    <xf numFmtId="166" fontId="0" fillId="3" borderId="4" xfId="1" applyNumberFormat="1" applyFont="1" applyFill="1" applyBorder="1" applyAlignment="1">
      <alignment vertical="center"/>
    </xf>
    <xf numFmtId="164" fontId="0" fillId="10" borderId="4" xfId="2" applyNumberFormat="1" applyFont="1" applyFill="1" applyBorder="1" applyAlignment="1">
      <alignment horizontal="center" vertical="center"/>
    </xf>
    <xf numFmtId="166" fontId="0" fillId="10" borderId="4" xfId="1" applyNumberFormat="1" applyFont="1" applyFill="1" applyBorder="1" applyAlignment="1">
      <alignment vertical="center"/>
    </xf>
    <xf numFmtId="169" fontId="0" fillId="0" borderId="4" xfId="1" applyNumberFormat="1" applyFont="1" applyBorder="1" applyAlignment="1">
      <alignment horizontal="center" vertical="center"/>
    </xf>
    <xf numFmtId="165" fontId="1" fillId="0" borderId="4" xfId="1" applyNumberFormat="1" applyFont="1" applyBorder="1" applyAlignment="1">
      <alignment vertical="center"/>
    </xf>
    <xf numFmtId="164" fontId="1" fillId="0" borderId="4" xfId="2" applyNumberFormat="1" applyFont="1" applyBorder="1" applyAlignment="1">
      <alignment vertical="center"/>
    </xf>
    <xf numFmtId="43" fontId="1" fillId="0" borderId="4" xfId="1" applyFont="1" applyBorder="1" applyAlignment="1">
      <alignment vertical="center"/>
    </xf>
    <xf numFmtId="9" fontId="17" fillId="0" borderId="0" xfId="3" applyAlignment="1"/>
    <xf numFmtId="9" fontId="17" fillId="0" borderId="0" xfId="3">
      <alignment horizontal="right"/>
    </xf>
    <xf numFmtId="166" fontId="3" fillId="11" borderId="4" xfId="0" applyNumberFormat="1" applyFont="1" applyFill="1" applyBorder="1" applyAlignment="1">
      <alignment vertical="center"/>
    </xf>
    <xf numFmtId="164" fontId="3" fillId="11" borderId="4" xfId="0" applyNumberFormat="1" applyFont="1" applyFill="1" applyBorder="1" applyAlignment="1">
      <alignment horizontal="right" vertical="center"/>
    </xf>
    <xf numFmtId="0" fontId="18" fillId="4" borderId="0" xfId="0" applyFont="1" applyFill="1" applyAlignment="1">
      <alignment horizontal="center" vertical="center" wrapText="1"/>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11" fillId="7" borderId="5" xfId="0" quotePrefix="1" applyFont="1" applyFill="1" applyBorder="1" applyAlignment="1">
      <alignment horizontal="center" vertical="center"/>
    </xf>
    <xf numFmtId="0" fontId="11" fillId="7" borderId="2" xfId="0" quotePrefix="1" applyFont="1" applyFill="1" applyBorder="1" applyAlignment="1">
      <alignment horizontal="center" vertical="center"/>
    </xf>
    <xf numFmtId="0" fontId="11" fillId="7" borderId="3" xfId="0" quotePrefix="1" applyFont="1" applyFill="1" applyBorder="1" applyAlignment="1">
      <alignment horizontal="center" vertical="center"/>
    </xf>
    <xf numFmtId="0" fontId="6" fillId="2" borderId="2" xfId="1" applyNumberFormat="1" applyFont="1" applyFill="1" applyBorder="1" applyAlignment="1">
      <alignment horizontal="center" vertical="center"/>
    </xf>
    <xf numFmtId="0" fontId="6" fillId="2" borderId="3" xfId="1" applyNumberFormat="1" applyFont="1" applyFill="1" applyBorder="1" applyAlignment="1">
      <alignment horizontal="center" vertical="center"/>
    </xf>
    <xf numFmtId="0" fontId="8" fillId="2" borderId="5" xfId="0" applyFont="1" applyFill="1" applyBorder="1" applyAlignment="1">
      <alignment horizontal="center" vertical="center"/>
    </xf>
    <xf numFmtId="0" fontId="8" fillId="2" borderId="2" xfId="0" applyFont="1" applyFill="1" applyBorder="1" applyAlignment="1">
      <alignment horizontal="center" vertical="center"/>
    </xf>
    <xf numFmtId="0" fontId="9" fillId="4" borderId="5" xfId="1" applyNumberFormat="1" applyFont="1" applyFill="1" applyBorder="1" applyAlignment="1">
      <alignment horizontal="center" vertical="center"/>
    </xf>
    <xf numFmtId="0" fontId="9" fillId="4" borderId="2" xfId="1" applyNumberFormat="1" applyFont="1" applyFill="1" applyBorder="1" applyAlignment="1">
      <alignment horizontal="center" vertical="center"/>
    </xf>
    <xf numFmtId="0" fontId="9" fillId="4" borderId="3" xfId="1" applyNumberFormat="1" applyFont="1" applyFill="1" applyBorder="1" applyAlignment="1">
      <alignment horizontal="center" vertical="center"/>
    </xf>
    <xf numFmtId="0" fontId="9" fillId="4" borderId="5" xfId="0" applyFont="1" applyFill="1" applyBorder="1" applyAlignment="1">
      <alignment horizontal="center" vertical="center"/>
    </xf>
    <xf numFmtId="0" fontId="9" fillId="4" borderId="2" xfId="0" applyFont="1" applyFill="1" applyBorder="1" applyAlignment="1">
      <alignment horizontal="center" vertical="center"/>
    </xf>
    <xf numFmtId="0" fontId="9" fillId="4" borderId="3" xfId="0" applyFont="1" applyFill="1" applyBorder="1" applyAlignment="1">
      <alignment horizontal="center" vertical="center"/>
    </xf>
    <xf numFmtId="0" fontId="0" fillId="12" borderId="0" xfId="0" applyFill="1"/>
    <xf numFmtId="0" fontId="19" fillId="0" borderId="0" xfId="0" applyFont="1" applyAlignment="1">
      <alignment horizontal="center"/>
    </xf>
    <xf numFmtId="0" fontId="19" fillId="0" borderId="0" xfId="0" applyFont="1" applyAlignment="1">
      <alignment horizontal="center"/>
    </xf>
    <xf numFmtId="0" fontId="0" fillId="13" borderId="0" xfId="0" applyFill="1"/>
    <xf numFmtId="0" fontId="0" fillId="12" borderId="0" xfId="0" applyFill="1" applyAlignment="1">
      <alignment vertical="top"/>
    </xf>
    <xf numFmtId="0" fontId="0" fillId="0" borderId="0" xfId="0" applyAlignment="1">
      <alignment vertical="top"/>
    </xf>
    <xf numFmtId="0" fontId="0" fillId="14" borderId="0" xfId="0" applyFill="1" applyAlignment="1">
      <alignment vertical="top" wrapText="1"/>
    </xf>
    <xf numFmtId="0" fontId="14" fillId="15" borderId="0" xfId="4" applyFont="1" applyFill="1" applyAlignment="1">
      <alignment horizontal="right"/>
    </xf>
    <xf numFmtId="0" fontId="20" fillId="15" borderId="0" xfId="4" applyFill="1" applyAlignment="1"/>
    <xf numFmtId="0" fontId="20" fillId="15" borderId="0" xfId="4" applyFill="1" applyAlignment="1"/>
    <xf numFmtId="14" fontId="21" fillId="7" borderId="4" xfId="0" applyNumberFormat="1" applyFont="1" applyFill="1" applyBorder="1" applyAlignment="1">
      <alignment horizontal="center" vertical="center"/>
    </xf>
  </cellXfs>
  <cellStyles count="5">
    <cellStyle name="-" xfId="3"/>
    <cellStyle name="Comma" xfId="1" builtinId="3"/>
    <cellStyle name="Hyperlink" xfId="4" builtinId="8"/>
    <cellStyle name="Normal" xfId="0" builtinId="0"/>
    <cellStyle name="Percent" xfId="2" builtinId="5"/>
  </cellStyles>
  <dxfs count="48">
    <dxf>
      <numFmt numFmtId="169" formatCode="#,##0.0_);[Red]\(#,##0.0\)"/>
      <alignment horizontal="center" vertical="center" textRotation="0" wrapText="0" indent="0" justifyLastLine="0" shrinkToFit="0" readingOrder="0"/>
    </dxf>
    <dxf>
      <numFmt numFmtId="166" formatCode="&quot;$&quot;#,##0_);[Red]\(&quot;$&quot;#,##0\);\ \ \-\-\ "/>
    </dxf>
    <dxf>
      <numFmt numFmtId="166" formatCode="&quot;$&quot;#,##0_);[Red]\(&quot;$&quot;#,##0\);\ \ \-\-\ "/>
    </dxf>
    <dxf>
      <numFmt numFmtId="0" formatCode="General"/>
    </dxf>
    <dxf>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166" formatCode="&quot;$&quot;#,##0_);[Red]\(&quot;$&quot;#,##0\);\ \ \-\-\ "/>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164" formatCode="0.0%;\(0.0%\);\ \-\-"/>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165" formatCode="mm/d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166" formatCode="&quot;$&quot;#,##0_);[Red]\(&quot;$&quot;#,##0\);\ \ \-\-\ "/>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auto="1"/>
        </left>
        <right style="thin">
          <color auto="1"/>
        </right>
        <top/>
        <bottom/>
      </border>
    </dxf>
    <dxf>
      <numFmt numFmtId="0" formatCode="General"/>
      <fill>
        <patternFill patternType="solid">
          <fgColor indexed="64"/>
          <bgColor rgb="FF196934"/>
        </patternFill>
      </fill>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border>
        <right style="thin">
          <color indexed="64"/>
        </right>
      </border>
    </dxf>
    <dxf>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border>
        <left style="thin">
          <color indexed="64"/>
        </left>
      </border>
    </dxf>
    <dxf>
      <numFmt numFmtId="166" formatCode="&quot;$&quot;#,##0_);[Red]\(&quot;$&quot;#,##0\);\ \ \-\-\ "/>
      <fill>
        <patternFill patternType="solid">
          <fgColor indexed="64"/>
          <bgColor rgb="FFCCFFCC"/>
        </patternFill>
      </fill>
      <border outline="0">
        <left style="thin">
          <color indexed="64"/>
        </left>
      </border>
    </dxf>
    <dxf>
      <numFmt numFmtId="164" formatCode="0.0%;\(0.0%\);\ \-\-"/>
      <fill>
        <patternFill patternType="solid">
          <fgColor indexed="64"/>
          <bgColor rgb="FFCCFFCC"/>
        </patternFill>
      </fill>
      <alignment horizontal="center" vertical="center" textRotation="0" wrapText="0" indent="0" justifyLastLine="0" shrinkToFit="0" readingOrder="0"/>
      <border>
        <right style="thin">
          <color indexed="64"/>
        </right>
      </border>
    </dxf>
    <dxf>
      <numFmt numFmtId="0" formatCode="General"/>
      <fill>
        <patternFill patternType="solid">
          <fgColor indexed="64"/>
          <bgColor rgb="FF196934"/>
        </patternFill>
      </fill>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border outline="0">
        <right style="thin">
          <color indexed="64"/>
        </right>
      </border>
    </dxf>
    <dxf>
      <alignment horizontal="general" vertical="center" textRotation="0" wrapText="0" indent="0" justifyLastLine="0" shrinkToFit="0" readingOrder="0"/>
      <border diagonalUp="0" diagonalDown="0" outline="0">
        <left style="thin">
          <color auto="1"/>
        </left>
        <right style="thin">
          <color auto="1"/>
        </right>
        <top/>
        <bottom/>
      </border>
    </dxf>
    <dxf>
      <numFmt numFmtId="0" formatCode="General"/>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dxf>
    <dxf>
      <numFmt numFmtId="0" formatCode="General"/>
      <alignment horizontal="general" vertical="center" textRotation="0" wrapText="0" indent="0" justifyLastLine="0" shrinkToFit="0" readingOrder="0"/>
      <border diagonalUp="0" diagonalDown="0" outline="0">
        <left style="thin">
          <color auto="1"/>
        </left>
        <right style="thin">
          <color auto="1"/>
        </right>
        <top/>
        <bottom/>
      </border>
    </dxf>
    <dxf>
      <numFmt numFmtId="167" formatCode="#,##0_);[Red]\(#,##0\);\ \ \-\-\ "/>
    </dxf>
    <dxf>
      <font>
        <b val="0"/>
        <i val="0"/>
        <strike val="0"/>
        <condense val="0"/>
        <extend val="0"/>
        <outline val="0"/>
        <shadow val="0"/>
        <u val="none"/>
        <vertAlign val="baseline"/>
        <sz val="11"/>
        <color theme="1"/>
        <name val="Calibri"/>
        <scheme val="minor"/>
      </font>
      <alignment horizontal="general" vertical="center" textRotation="0" wrapText="0" indent="0" justifyLastLine="0" shrinkToFit="0" readingOrder="0"/>
      <border diagonalUp="0" diagonalDown="0" outline="0">
        <left style="thin">
          <color auto="1"/>
        </left>
        <right style="thin">
          <color auto="1"/>
        </right>
        <top/>
        <bottom/>
      </border>
    </dxf>
    <dxf>
      <numFmt numFmtId="0" formatCode="General"/>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dxf>
    <dxf>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dxf>
    <dxf>
      <alignment horizontal="general" vertical="center" textRotation="0" wrapText="0" indent="0" justifyLastLine="0" shrinkToFit="0" readingOrder="0"/>
      <border diagonalUp="0" diagonalDown="0" outline="0">
        <left style="thin">
          <color auto="1"/>
        </left>
        <right style="thin">
          <color auto="1"/>
        </right>
        <top/>
        <bottom/>
      </border>
    </dxf>
    <dxf>
      <numFmt numFmtId="166" formatCode="&quot;$&quot;#,##0_);[Red]\(&quot;$&quot;#,##0\);\ \ \-\-\ "/>
    </dxf>
    <dxf>
      <fill>
        <patternFill patternType="solid">
          <fgColor indexed="64"/>
          <bgColor rgb="FF196934"/>
        </patternFill>
      </fill>
      <alignment horizontal="general" vertical="center" textRotation="0" wrapText="0" indent="0" justifyLastLine="0" shrinkToFit="0" readingOrder="0"/>
      <border diagonalUp="0" diagonalDown="0" outline="0">
        <left style="thin">
          <color auto="1"/>
        </left>
        <right style="thin">
          <color auto="1"/>
        </right>
        <top/>
        <bottom/>
      </border>
    </dxf>
    <dxf>
      <alignment horizontal="general" vertical="center" textRotation="0" wrapText="0" indent="0" justifyLastLine="0" shrinkToFit="0" readingOrder="0"/>
      <border diagonalUp="0" diagonalDown="0" outline="0">
        <left style="thin">
          <color auto="1"/>
        </left>
        <right style="thin">
          <color auto="1"/>
        </right>
        <top/>
        <bottom/>
      </border>
    </dxf>
    <dxf>
      <numFmt numFmtId="165" formatCode="mm/dd/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auto="1"/>
        </left>
        <right style="thin">
          <color auto="1"/>
        </right>
        <top/>
        <bottom/>
      </border>
    </dxf>
    <dxf>
      <border outline="0">
        <right style="thin">
          <color indexed="64"/>
        </right>
      </border>
    </dxf>
    <dxf>
      <alignment horizontal="general" vertical="center" textRotation="0" wrapText="0" indent="0" justifyLastLine="0" shrinkToFit="0" readingOrder="0"/>
      <border diagonalUp="0" diagonalDown="0" outline="0">
        <left style="thin">
          <color auto="1"/>
        </left>
        <right style="thin">
          <color auto="1"/>
        </right>
        <top/>
        <bottom/>
      </border>
    </dxf>
    <dxf>
      <numFmt numFmtId="0" formatCode="General"/>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style="thin">
          <color auto="1"/>
        </left>
        <right style="thin">
          <color auto="1"/>
        </right>
        <top/>
        <bottom/>
      </border>
    </dxf>
    <dxf>
      <font>
        <b val="0"/>
      </font>
    </dxf>
    <dxf>
      <fill>
        <patternFill patternType="solid">
          <fgColor indexed="64"/>
          <bgColor theme="0"/>
        </patternFill>
      </fill>
      <alignment horizontal="general" vertical="center" textRotation="0" wrapText="0" indent="0" justifyLastLine="0" shrinkToFit="0" readingOrder="0"/>
      <border diagonalUp="0" diagonalDown="0" outline="0">
        <left/>
        <right style="thin">
          <color indexed="64"/>
        </right>
        <top/>
        <bottom/>
      </border>
    </dxf>
    <dxf>
      <alignment horizontal="general"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dxf>
    <dxf>
      <fill>
        <patternFill>
          <bgColor rgb="FFFFFFCC"/>
        </patternFill>
      </fill>
    </dxf>
  </dxfs>
  <tableStyles count="1" defaultTableStyle="TableStyleMedium2" defaultPivotStyle="PivotStyleLight16">
    <tableStyle name="Table Style 1" pivot="0" count="1">
      <tableStyleElement type="firstRowStripe" dxfId="47"/>
    </tableStyle>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303117</xdr:colOff>
      <xdr:row>1</xdr:row>
      <xdr:rowOff>126725</xdr:rowOff>
    </xdr:from>
    <xdr:to>
      <xdr:col>24</xdr:col>
      <xdr:colOff>762561</xdr:colOff>
      <xdr:row>1</xdr:row>
      <xdr:rowOff>342901</xdr:rowOff>
    </xdr:to>
    <xdr:pic>
      <xdr:nvPicPr>
        <xdr:cNvPr id="2" name="Picture 1"/>
        <xdr:cNvPicPr>
          <a:picLocks noChangeAspect="1"/>
        </xdr:cNvPicPr>
      </xdr:nvPicPr>
      <xdr:blipFill>
        <a:blip xmlns:r="http://schemas.openxmlformats.org/officeDocument/2006/relationships" r:embed="rId1"/>
        <a:stretch>
          <a:fillRect/>
        </a:stretch>
      </xdr:blipFill>
      <xdr:spPr>
        <a:xfrm>
          <a:off x="19981767" y="317225"/>
          <a:ext cx="459444" cy="21617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ableScrap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Table1"/>
      <sheetName val="Table2"/>
      <sheetName val="Table3"/>
      <sheetName val="Table4"/>
      <sheetName val="Table5"/>
      <sheetName val="Table6"/>
      <sheetName val="Table7"/>
    </sheetNames>
    <definedNames>
      <definedName name="CopyPasteSpecialAllTables"/>
    </defined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id="1" name="MeritPlanning46" displayName="MeritPlanning46" ref="A8:Y13" headerRowDxfId="46" dataDxfId="45">
  <autoFilter ref="A8:Y13"/>
  <tableColumns count="25">
    <tableColumn id="1" name="a" totalsRowLabel="Total" dataDxfId="3" totalsRowDxfId="44">
      <calculatedColumnFormula>SUBTOTAL(3,B$8:B9)-1</calculatedColumnFormula>
    </tableColumn>
    <tableColumn id="49" name="Name Title" dataDxfId="43" totalsRowDxfId="42"/>
    <tableColumn id="2" name="Name Title (eqn)" dataDxfId="41" totalsRowDxfId="40">
      <calculatedColumnFormula>MeritPlanning46[[#This Row],[Associate Name]]&amp;CHAR(10)&amp;MeritPlanning46[[#This Row],[Job Code Title]]</calculatedColumnFormula>
    </tableColumn>
    <tableColumn id="4" name="Associate Name" dataDxfId="39" totalsRowDxfId="38"/>
    <tableColumn id="5" name="Start Dt (ReHire)" dataDxfId="37" dataCellStyle="Comma"/>
    <tableColumn id="7" name="Job Code Title" totalsRowDxfId="36"/>
    <tableColumn id="9" name="b" totalsRowDxfId="35"/>
    <tableColumn id="34" name="Base" totalsRowFunction="sum" dataDxfId="34" totalsRowDxfId="33" dataCellStyle="Comma"/>
    <tableColumn id="35" name="Bonus (2016 Annual)" totalsRowFunction="sum" dataDxfId="32" totalsRowDxfId="31" dataCellStyle="Comma"/>
    <tableColumn id="36" name="Bonus (2016 Other)" dataDxfId="30" totalsRowDxfId="29" dataCellStyle="Comma"/>
    <tableColumn id="48" name="Total Cash" totalsRowFunction="sum" dataDxfId="2" totalsRowDxfId="28" dataCellStyle="Comma">
      <calculatedColumnFormula>MeritPlanning46[[#This Row],[Base]]+MeritPlanning46[[#This Row],[Bonus (2016 Annual)]]+MeritPlanning46[[#This Row],[Bonus (2016 Other)]]</calculatedColumnFormula>
    </tableColumn>
    <tableColumn id="39" name="Stock (2016 Annual Units)" dataDxfId="27" totalsRowDxfId="26" dataCellStyle="Comma"/>
    <tableColumn id="40" name="Stock (2016 Annual FMV)" dataDxfId="25" totalsRowDxfId="24" dataCellStyle="Comma"/>
    <tableColumn id="45" name="Total Comp" totalsRowFunction="sum" dataDxfId="1" totalsRowDxfId="23" dataCellStyle="Comma">
      <calculatedColumnFormula>MeritPlanning46[[#This Row],[Total Cash]]+MeritPlanning46[[#This Row],[Stock (2016 Annual FMV)]]</calculatedColumnFormula>
    </tableColumn>
    <tableColumn id="52" name="e" dataDxfId="22" totalsRowDxfId="21" dataCellStyle="Comma"/>
    <tableColumn id="53" name="Increase %" totalsRowFunction="sum" dataDxfId="20" dataCellStyle="Percent"/>
    <tableColumn id="54" name="Increase $" totalsRowFunction="sum" dataDxfId="19" dataCellStyle="Comma"/>
    <tableColumn id="55" name="Recommended New Annual Base Salary" totalsRowFunction="sum" dataDxfId="18" totalsRowDxfId="17" dataCellStyle="Comma">
      <calculatedColumnFormula>MeritPlanning46[[#This Row],[Base]]+MeritPlanning46[[#This Row],[Increase $]]</calculatedColumnFormula>
    </tableColumn>
    <tableColumn id="58" name="f" dataDxfId="16" totalsRowDxfId="15" dataCellStyle="Comma"/>
    <tableColumn id="59" name="Years Since Last Increase" totalsRowFunction="sum" dataDxfId="0" totalsRowDxfId="14" dataCellStyle="Comma">
      <calculatedColumnFormula>($T$7-MeritPlanning46[[#This Row],[Last Pay Rate Change Dt]])/365</calculatedColumnFormula>
    </tableColumn>
    <tableColumn id="64" name="Annual Rate Before Increase" dataDxfId="13" totalsRowDxfId="12" dataCellStyle="Comma"/>
    <tableColumn id="85" name="Last Pay Rate Change Dt" dataDxfId="11" totalsRowDxfId="10" dataCellStyle="Comma"/>
    <tableColumn id="86" name="Increase % (Last)" dataDxfId="9" totalsRowDxfId="8" dataCellStyle="Percent"/>
    <tableColumn id="87" name="Increase $ (Last)" totalsRowFunction="sum" dataDxfId="7" totalsRowDxfId="6" dataCellStyle="Comma"/>
    <tableColumn id="57" name="Reason" dataDxfId="5" totalsRowDxfId="4" dataCellStyle="Comma"/>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50"/>
  <sheetViews>
    <sheetView showGridLines="0" tabSelected="1" zoomScaleNormal="100" workbookViewId="0">
      <selection activeCell="G1" sqref="G1"/>
    </sheetView>
  </sheetViews>
  <sheetFormatPr defaultRowHeight="15" x14ac:dyDescent="0.25"/>
  <cols>
    <col min="7" max="7" width="4.5703125" customWidth="1"/>
    <col min="18" max="18" width="4.5703125" customWidth="1"/>
  </cols>
  <sheetData>
    <row r="1" spans="1:27" x14ac:dyDescent="0.25">
      <c r="A1" s="68"/>
      <c r="B1" s="68"/>
      <c r="C1" s="68"/>
      <c r="D1" s="68"/>
      <c r="E1" s="68"/>
      <c r="F1" s="68"/>
      <c r="S1" s="68"/>
      <c r="T1" s="68"/>
      <c r="U1" s="68"/>
      <c r="V1" s="68"/>
      <c r="W1" s="68"/>
      <c r="X1" s="68"/>
      <c r="Y1" s="68"/>
      <c r="Z1" s="68"/>
      <c r="AA1" s="68"/>
    </row>
    <row r="2" spans="1:27" ht="23.25" x14ac:dyDescent="0.35">
      <c r="A2" s="68"/>
      <c r="B2" s="68"/>
      <c r="C2" s="68"/>
      <c r="D2" s="68"/>
      <c r="E2" s="68"/>
      <c r="F2" s="68"/>
      <c r="H2" s="69" t="s">
        <v>63</v>
      </c>
      <c r="I2" s="69"/>
      <c r="J2" s="69"/>
      <c r="K2" s="69"/>
      <c r="L2" s="69"/>
      <c r="M2" s="69"/>
      <c r="N2" s="69"/>
      <c r="O2" s="69"/>
      <c r="P2" s="69"/>
      <c r="Q2" s="69"/>
      <c r="S2" s="68"/>
      <c r="T2" s="68"/>
      <c r="U2" s="68"/>
      <c r="V2" s="68"/>
      <c r="W2" s="68"/>
      <c r="X2" s="68"/>
      <c r="Y2" s="68"/>
      <c r="Z2" s="68"/>
      <c r="AA2" s="68"/>
    </row>
    <row r="3" spans="1:27" ht="15" customHeight="1" x14ac:dyDescent="0.35">
      <c r="A3" s="68"/>
      <c r="B3" s="68"/>
      <c r="C3" s="68"/>
      <c r="D3" s="68"/>
      <c r="E3" s="68"/>
      <c r="F3" s="68"/>
      <c r="H3" s="70"/>
      <c r="I3" s="70"/>
      <c r="J3" s="70"/>
      <c r="K3" s="70"/>
      <c r="L3" s="70"/>
      <c r="M3" s="70"/>
      <c r="N3" s="70"/>
      <c r="O3" s="70"/>
      <c r="P3" s="70"/>
      <c r="Q3" s="70"/>
      <c r="S3" s="68"/>
      <c r="T3" s="68"/>
      <c r="U3" s="68"/>
      <c r="V3" s="68"/>
      <c r="W3" s="68"/>
      <c r="X3" s="68"/>
      <c r="Y3" s="68"/>
      <c r="Z3" s="68"/>
      <c r="AA3" s="68"/>
    </row>
    <row r="4" spans="1:27" x14ac:dyDescent="0.25">
      <c r="A4" s="68"/>
      <c r="B4" s="68"/>
      <c r="C4" s="68"/>
      <c r="D4" s="68"/>
      <c r="E4" s="68"/>
      <c r="F4" s="68"/>
      <c r="S4" s="68"/>
      <c r="T4" s="68"/>
      <c r="U4" s="68"/>
      <c r="V4" s="68"/>
      <c r="W4" s="68"/>
      <c r="X4" s="68"/>
      <c r="Y4" s="68"/>
      <c r="Z4" s="68"/>
      <c r="AA4" s="68"/>
    </row>
    <row r="5" spans="1:27" x14ac:dyDescent="0.25">
      <c r="A5" s="68"/>
      <c r="B5" s="68"/>
      <c r="C5" s="68"/>
      <c r="D5" s="68"/>
      <c r="E5" s="68"/>
      <c r="F5" s="68"/>
      <c r="H5" s="71" t="s">
        <v>61</v>
      </c>
      <c r="I5" s="71"/>
      <c r="J5" s="71"/>
      <c r="K5" s="71"/>
      <c r="L5" s="71"/>
      <c r="M5" s="71"/>
      <c r="N5" s="71"/>
      <c r="O5" s="71"/>
      <c r="P5" s="71"/>
      <c r="Q5" s="71"/>
      <c r="S5" s="68"/>
      <c r="T5" s="68"/>
      <c r="U5" s="68"/>
      <c r="V5" s="68"/>
      <c r="W5" s="68"/>
      <c r="X5" s="68"/>
      <c r="Y5" s="68"/>
      <c r="Z5" s="68"/>
      <c r="AA5" s="68"/>
    </row>
    <row r="6" spans="1:27" x14ac:dyDescent="0.25">
      <c r="A6" s="68"/>
      <c r="B6" s="68"/>
      <c r="C6" s="68"/>
      <c r="D6" s="68"/>
      <c r="E6" s="68"/>
      <c r="F6" s="68"/>
      <c r="S6" s="68"/>
      <c r="T6" s="68"/>
      <c r="U6" s="68"/>
      <c r="V6" s="68"/>
      <c r="W6" s="68"/>
      <c r="X6" s="68"/>
      <c r="Y6" s="68"/>
      <c r="Z6" s="68"/>
      <c r="AA6" s="68"/>
    </row>
    <row r="7" spans="1:27" s="73" customFormat="1" ht="297" customHeight="1" x14ac:dyDescent="0.25">
      <c r="A7" s="72"/>
      <c r="B7" s="72"/>
      <c r="C7" s="72"/>
      <c r="D7" s="72"/>
      <c r="E7" s="72"/>
      <c r="F7" s="72"/>
      <c r="H7" s="74" t="s">
        <v>66</v>
      </c>
      <c r="I7" s="74"/>
      <c r="J7" s="74"/>
      <c r="K7" s="74"/>
      <c r="L7" s="74"/>
      <c r="M7" s="74"/>
      <c r="N7" s="74"/>
      <c r="O7" s="74"/>
      <c r="P7" s="74"/>
      <c r="Q7" s="74"/>
      <c r="S7" s="72"/>
      <c r="T7" s="72"/>
      <c r="U7" s="72"/>
      <c r="V7" s="72"/>
      <c r="W7" s="72"/>
      <c r="X7" s="72"/>
      <c r="Y7" s="72"/>
      <c r="Z7" s="72"/>
      <c r="AA7" s="72"/>
    </row>
    <row r="8" spans="1:27" x14ac:dyDescent="0.25">
      <c r="A8" s="68"/>
      <c r="B8" s="68"/>
      <c r="C8" s="68"/>
      <c r="D8" s="68"/>
      <c r="E8" s="68"/>
      <c r="F8" s="68"/>
      <c r="S8" s="68"/>
      <c r="T8" s="68"/>
      <c r="U8" s="68"/>
      <c r="V8" s="68"/>
      <c r="W8" s="68"/>
      <c r="X8" s="68"/>
      <c r="Y8" s="68"/>
      <c r="Z8" s="68"/>
      <c r="AA8" s="68"/>
    </row>
    <row r="9" spans="1:27" x14ac:dyDescent="0.25">
      <c r="A9" s="68"/>
      <c r="B9" s="68"/>
      <c r="C9" s="68"/>
      <c r="D9" s="68"/>
      <c r="E9" s="68"/>
      <c r="F9" s="68"/>
      <c r="S9" s="68"/>
      <c r="T9" s="68"/>
      <c r="U9" s="68"/>
      <c r="V9" s="68"/>
      <c r="W9" s="68"/>
      <c r="X9" s="68"/>
      <c r="Y9" s="68"/>
      <c r="Z9" s="68"/>
      <c r="AA9" s="68"/>
    </row>
    <row r="10" spans="1:27" x14ac:dyDescent="0.25">
      <c r="A10" s="68"/>
      <c r="B10" s="68"/>
      <c r="C10" s="68"/>
      <c r="D10" s="68"/>
      <c r="E10" s="68"/>
      <c r="F10" s="68"/>
      <c r="S10" s="68"/>
      <c r="T10" s="68"/>
      <c r="U10" s="68"/>
      <c r="V10" s="68"/>
      <c r="W10" s="68"/>
      <c r="X10" s="68"/>
      <c r="Y10" s="68"/>
      <c r="Z10" s="68"/>
      <c r="AA10" s="68"/>
    </row>
    <row r="11" spans="1:27" x14ac:dyDescent="0.25">
      <c r="A11" s="68"/>
      <c r="B11" s="68"/>
      <c r="C11" s="68"/>
      <c r="D11" s="68"/>
      <c r="E11" s="68"/>
      <c r="F11" s="68"/>
      <c r="S11" s="68"/>
      <c r="T11" s="68"/>
      <c r="U11" s="68"/>
      <c r="V11" s="68"/>
      <c r="W11" s="68"/>
      <c r="X11" s="68"/>
      <c r="Y11" s="68"/>
      <c r="Z11" s="68"/>
      <c r="AA11" s="68"/>
    </row>
    <row r="12" spans="1:27" x14ac:dyDescent="0.25">
      <c r="A12" s="68"/>
      <c r="B12" s="68"/>
      <c r="C12" s="68"/>
      <c r="D12" s="68"/>
      <c r="E12" s="68"/>
      <c r="F12" s="68"/>
      <c r="S12" s="68"/>
      <c r="T12" s="68"/>
      <c r="U12" s="68"/>
      <c r="V12" s="68"/>
      <c r="W12" s="68"/>
      <c r="X12" s="68"/>
      <c r="Y12" s="68"/>
      <c r="Z12" s="68"/>
      <c r="AA12" s="68"/>
    </row>
    <row r="13" spans="1:27" x14ac:dyDescent="0.25">
      <c r="A13" s="68"/>
      <c r="B13" s="68"/>
      <c r="C13" s="68"/>
      <c r="D13" s="68"/>
      <c r="E13" s="68"/>
      <c r="F13" s="68"/>
      <c r="S13" s="68"/>
      <c r="T13" s="68"/>
      <c r="U13" s="68"/>
      <c r="V13" s="68"/>
      <c r="W13" s="68"/>
      <c r="X13" s="68"/>
      <c r="Y13" s="68"/>
      <c r="Z13" s="68"/>
      <c r="AA13" s="68"/>
    </row>
    <row r="14" spans="1:27" x14ac:dyDescent="0.25">
      <c r="A14" s="68"/>
      <c r="B14" s="68"/>
      <c r="C14" s="68"/>
      <c r="D14" s="68"/>
      <c r="E14" s="68"/>
      <c r="F14" s="68"/>
      <c r="S14" s="68"/>
      <c r="T14" s="68"/>
      <c r="U14" s="68"/>
      <c r="V14" s="68"/>
      <c r="W14" s="68"/>
      <c r="X14" s="68"/>
      <c r="Y14" s="68"/>
      <c r="Z14" s="68"/>
      <c r="AA14" s="68"/>
    </row>
    <row r="15" spans="1:27" x14ac:dyDescent="0.25">
      <c r="A15" s="68"/>
      <c r="B15" s="68"/>
      <c r="C15" s="68"/>
      <c r="D15" s="68"/>
      <c r="E15" s="68"/>
      <c r="F15" s="68"/>
      <c r="H15" s="75" t="s">
        <v>62</v>
      </c>
      <c r="I15" s="75"/>
      <c r="J15" s="75"/>
      <c r="K15" s="75"/>
      <c r="L15" s="76" t="str">
        <f>HYPERLINK("https://ernie932.github.io/portfolio.html","Ernesto Cruz Portfolio @ ernie932.github.io")</f>
        <v>Ernesto Cruz Portfolio @ ernie932.github.io</v>
      </c>
      <c r="M15" s="76"/>
      <c r="N15" s="76"/>
      <c r="O15" s="76"/>
      <c r="P15" s="76"/>
      <c r="Q15" s="77"/>
      <c r="S15" s="68"/>
      <c r="T15" s="68"/>
      <c r="U15" s="68"/>
      <c r="V15" s="68"/>
      <c r="W15" s="68"/>
      <c r="X15" s="68"/>
      <c r="Y15" s="68"/>
      <c r="Z15" s="68"/>
      <c r="AA15" s="68"/>
    </row>
    <row r="16" spans="1:27" x14ac:dyDescent="0.25">
      <c r="A16" s="68"/>
      <c r="B16" s="68"/>
      <c r="C16" s="68"/>
      <c r="D16" s="68"/>
      <c r="E16" s="68"/>
      <c r="F16" s="68"/>
      <c r="S16" s="68"/>
      <c r="T16" s="68"/>
      <c r="U16" s="68"/>
      <c r="V16" s="68"/>
      <c r="W16" s="68"/>
      <c r="X16" s="68"/>
      <c r="Y16" s="68"/>
      <c r="Z16" s="68"/>
      <c r="AA16" s="68"/>
    </row>
    <row r="17" spans="1:27" x14ac:dyDescent="0.25">
      <c r="A17" s="68"/>
      <c r="B17" s="68"/>
      <c r="C17" s="68"/>
      <c r="D17" s="68"/>
      <c r="E17" s="68"/>
      <c r="F17" s="68"/>
      <c r="S17" s="68"/>
      <c r="T17" s="68"/>
      <c r="U17" s="68"/>
      <c r="V17" s="68"/>
      <c r="W17" s="68"/>
      <c r="X17" s="68"/>
      <c r="Y17" s="68"/>
      <c r="Z17" s="68"/>
      <c r="AA17" s="68"/>
    </row>
    <row r="18" spans="1:27" x14ac:dyDescent="0.25">
      <c r="A18" s="68"/>
      <c r="B18" s="68"/>
      <c r="C18" s="68"/>
      <c r="D18" s="68"/>
      <c r="E18" s="68"/>
      <c r="F18" s="68"/>
      <c r="S18" s="68"/>
      <c r="T18" s="68"/>
      <c r="U18" s="68"/>
      <c r="V18" s="68"/>
      <c r="W18" s="68"/>
      <c r="X18" s="68"/>
      <c r="Y18" s="68"/>
      <c r="Z18" s="68"/>
      <c r="AA18" s="68"/>
    </row>
    <row r="19" spans="1:27" x14ac:dyDescent="0.25">
      <c r="A19" s="68"/>
      <c r="B19" s="68"/>
      <c r="C19" s="68"/>
      <c r="D19" s="68"/>
      <c r="E19" s="68"/>
      <c r="F19" s="68"/>
      <c r="S19" s="68"/>
      <c r="T19" s="68"/>
      <c r="U19" s="68"/>
      <c r="V19" s="68"/>
      <c r="W19" s="68"/>
      <c r="X19" s="68"/>
      <c r="Y19" s="68"/>
      <c r="Z19" s="68"/>
      <c r="AA19" s="68"/>
    </row>
    <row r="20" spans="1:27" x14ac:dyDescent="0.25">
      <c r="A20" s="68"/>
      <c r="B20" s="68"/>
      <c r="C20" s="68"/>
      <c r="D20" s="68"/>
      <c r="E20" s="68"/>
      <c r="F20" s="68"/>
      <c r="S20" s="68"/>
      <c r="T20" s="68"/>
      <c r="U20" s="68"/>
      <c r="V20" s="68"/>
      <c r="W20" s="68"/>
      <c r="X20" s="68"/>
      <c r="Y20" s="68"/>
      <c r="Z20" s="68"/>
      <c r="AA20" s="68"/>
    </row>
    <row r="21" spans="1:27" x14ac:dyDescent="0.25">
      <c r="A21" s="68"/>
      <c r="B21" s="68"/>
      <c r="C21" s="68"/>
      <c r="D21" s="68"/>
      <c r="E21" s="68"/>
      <c r="F21" s="68"/>
      <c r="S21" s="68"/>
      <c r="T21" s="68"/>
      <c r="U21" s="68"/>
      <c r="V21" s="68"/>
      <c r="W21" s="68"/>
      <c r="X21" s="68"/>
      <c r="Y21" s="68"/>
      <c r="Z21" s="68"/>
      <c r="AA21" s="68"/>
    </row>
    <row r="22" spans="1:27" x14ac:dyDescent="0.25">
      <c r="A22" s="68"/>
      <c r="B22" s="68"/>
      <c r="C22" s="68"/>
      <c r="D22" s="68"/>
      <c r="E22" s="68"/>
      <c r="F22" s="68"/>
      <c r="S22" s="68"/>
      <c r="T22" s="68"/>
      <c r="U22" s="68"/>
      <c r="V22" s="68"/>
      <c r="W22" s="68"/>
      <c r="X22" s="68"/>
      <c r="Y22" s="68"/>
      <c r="Z22" s="68"/>
      <c r="AA22" s="68"/>
    </row>
    <row r="23" spans="1:27" x14ac:dyDescent="0.25">
      <c r="A23" s="68"/>
      <c r="B23" s="68"/>
      <c r="C23" s="68"/>
      <c r="D23" s="68"/>
      <c r="E23" s="68"/>
      <c r="F23" s="68"/>
      <c r="S23" s="68"/>
      <c r="T23" s="68"/>
      <c r="U23" s="68"/>
      <c r="V23" s="68"/>
      <c r="W23" s="68"/>
      <c r="X23" s="68"/>
      <c r="Y23" s="68"/>
      <c r="Z23" s="68"/>
      <c r="AA23" s="68"/>
    </row>
    <row r="24" spans="1:27" x14ac:dyDescent="0.25">
      <c r="A24" s="68"/>
      <c r="B24" s="68"/>
      <c r="C24" s="68"/>
      <c r="D24" s="68"/>
      <c r="E24" s="68"/>
      <c r="F24" s="68"/>
      <c r="S24" s="68"/>
      <c r="T24" s="68"/>
      <c r="U24" s="68"/>
      <c r="V24" s="68"/>
      <c r="W24" s="68"/>
      <c r="X24" s="68"/>
      <c r="Y24" s="68"/>
      <c r="Z24" s="68"/>
      <c r="AA24" s="68"/>
    </row>
    <row r="25" spans="1:27" x14ac:dyDescent="0.25">
      <c r="A25" s="68"/>
      <c r="B25" s="68"/>
      <c r="C25" s="68"/>
      <c r="D25" s="68"/>
      <c r="E25" s="68"/>
      <c r="F25" s="68"/>
      <c r="S25" s="68"/>
      <c r="T25" s="68"/>
      <c r="U25" s="68"/>
      <c r="V25" s="68"/>
      <c r="W25" s="68"/>
      <c r="X25" s="68"/>
      <c r="Y25" s="68"/>
      <c r="Z25" s="68"/>
      <c r="AA25" s="68"/>
    </row>
    <row r="26" spans="1:27" x14ac:dyDescent="0.25">
      <c r="A26" s="68"/>
      <c r="B26" s="68"/>
      <c r="C26" s="68"/>
      <c r="D26" s="68"/>
      <c r="E26" s="68"/>
      <c r="F26" s="68"/>
      <c r="S26" s="68"/>
      <c r="T26" s="68"/>
      <c r="U26" s="68"/>
      <c r="V26" s="68"/>
      <c r="W26" s="68"/>
      <c r="X26" s="68"/>
      <c r="Y26" s="68"/>
      <c r="Z26" s="68"/>
      <c r="AA26" s="68"/>
    </row>
    <row r="27" spans="1:27" x14ac:dyDescent="0.25">
      <c r="A27" s="68"/>
      <c r="B27" s="68"/>
      <c r="C27" s="68"/>
      <c r="D27" s="68"/>
      <c r="E27" s="68"/>
      <c r="F27" s="68"/>
      <c r="S27" s="68"/>
      <c r="T27" s="68"/>
      <c r="U27" s="68"/>
      <c r="V27" s="68"/>
      <c r="W27" s="68"/>
      <c r="X27" s="68"/>
      <c r="Y27" s="68"/>
      <c r="Z27" s="68"/>
      <c r="AA27" s="68"/>
    </row>
    <row r="28" spans="1:27" x14ac:dyDescent="0.25">
      <c r="A28" s="68"/>
      <c r="B28" s="68"/>
      <c r="C28" s="68"/>
      <c r="D28" s="68"/>
      <c r="E28" s="68"/>
      <c r="F28" s="68"/>
      <c r="S28" s="68"/>
      <c r="T28" s="68"/>
      <c r="U28" s="68"/>
      <c r="V28" s="68"/>
      <c r="W28" s="68"/>
      <c r="X28" s="68"/>
      <c r="Y28" s="68"/>
      <c r="Z28" s="68"/>
      <c r="AA28" s="68"/>
    </row>
    <row r="29" spans="1:27" x14ac:dyDescent="0.25">
      <c r="A29" s="68"/>
      <c r="B29" s="68"/>
      <c r="C29" s="68"/>
      <c r="D29" s="68"/>
      <c r="E29" s="68"/>
      <c r="F29" s="68"/>
      <c r="S29" s="68"/>
      <c r="T29" s="68"/>
      <c r="U29" s="68"/>
      <c r="V29" s="68"/>
      <c r="W29" s="68"/>
      <c r="X29" s="68"/>
      <c r="Y29" s="68"/>
      <c r="Z29" s="68"/>
      <c r="AA29" s="68"/>
    </row>
    <row r="30" spans="1:27" x14ac:dyDescent="0.25">
      <c r="A30" s="68"/>
      <c r="B30" s="68"/>
      <c r="C30" s="68"/>
      <c r="D30" s="68"/>
      <c r="E30" s="68"/>
      <c r="F30" s="68"/>
      <c r="S30" s="68"/>
      <c r="T30" s="68"/>
      <c r="U30" s="68"/>
      <c r="V30" s="68"/>
      <c r="W30" s="68"/>
      <c r="X30" s="68"/>
      <c r="Y30" s="68"/>
      <c r="Z30" s="68"/>
      <c r="AA30" s="68"/>
    </row>
    <row r="31" spans="1:27" x14ac:dyDescent="0.25">
      <c r="A31" s="68"/>
      <c r="B31" s="68"/>
      <c r="C31" s="68"/>
      <c r="D31" s="68"/>
      <c r="E31" s="68"/>
      <c r="F31" s="68"/>
      <c r="S31" s="68"/>
      <c r="T31" s="68"/>
      <c r="U31" s="68"/>
      <c r="V31" s="68"/>
      <c r="W31" s="68"/>
      <c r="X31" s="68"/>
      <c r="Y31" s="68"/>
      <c r="Z31" s="68"/>
      <c r="AA31" s="68"/>
    </row>
    <row r="32" spans="1:27" x14ac:dyDescent="0.25">
      <c r="A32" s="68"/>
      <c r="B32" s="68"/>
      <c r="C32" s="68"/>
      <c r="D32" s="68"/>
      <c r="E32" s="68"/>
      <c r="F32" s="68"/>
      <c r="S32" s="68"/>
      <c r="T32" s="68"/>
      <c r="U32" s="68"/>
      <c r="V32" s="68"/>
      <c r="W32" s="68"/>
      <c r="X32" s="68"/>
      <c r="Y32" s="68"/>
      <c r="Z32" s="68"/>
      <c r="AA32" s="68"/>
    </row>
    <row r="33" spans="1:27" x14ac:dyDescent="0.25">
      <c r="A33" s="68"/>
      <c r="B33" s="68"/>
      <c r="C33" s="68"/>
      <c r="D33" s="68"/>
      <c r="E33" s="68"/>
      <c r="F33" s="68"/>
      <c r="S33" s="68"/>
      <c r="T33" s="68"/>
      <c r="U33" s="68"/>
      <c r="V33" s="68"/>
      <c r="W33" s="68"/>
      <c r="X33" s="68"/>
      <c r="Y33" s="68"/>
      <c r="Z33" s="68"/>
      <c r="AA33" s="68"/>
    </row>
    <row r="34" spans="1:27" x14ac:dyDescent="0.25">
      <c r="A34" s="68"/>
      <c r="B34" s="68"/>
      <c r="C34" s="68"/>
      <c r="D34" s="68"/>
      <c r="E34" s="68"/>
      <c r="F34" s="68"/>
      <c r="S34" s="68"/>
      <c r="T34" s="68"/>
      <c r="U34" s="68"/>
      <c r="V34" s="68"/>
      <c r="W34" s="68"/>
      <c r="X34" s="68"/>
      <c r="Y34" s="68"/>
      <c r="Z34" s="68"/>
      <c r="AA34" s="68"/>
    </row>
    <row r="35" spans="1:27" x14ac:dyDescent="0.25">
      <c r="A35" s="68"/>
      <c r="B35" s="68"/>
      <c r="C35" s="68"/>
      <c r="D35" s="68"/>
      <c r="E35" s="68"/>
      <c r="F35" s="68"/>
      <c r="S35" s="68"/>
      <c r="T35" s="68"/>
      <c r="U35" s="68"/>
      <c r="V35" s="68"/>
      <c r="W35" s="68"/>
      <c r="X35" s="68"/>
      <c r="Y35" s="68"/>
      <c r="Z35" s="68"/>
      <c r="AA35" s="68"/>
    </row>
    <row r="36" spans="1:27" x14ac:dyDescent="0.25">
      <c r="A36" s="68"/>
      <c r="B36" s="68"/>
      <c r="C36" s="68"/>
      <c r="D36" s="68"/>
      <c r="E36" s="68"/>
      <c r="F36" s="68"/>
      <c r="S36" s="68"/>
      <c r="T36" s="68"/>
      <c r="U36" s="68"/>
      <c r="V36" s="68"/>
      <c r="W36" s="68"/>
      <c r="X36" s="68"/>
      <c r="Y36" s="68"/>
      <c r="Z36" s="68"/>
      <c r="AA36" s="68"/>
    </row>
    <row r="37" spans="1:27" x14ac:dyDescent="0.25">
      <c r="A37" s="68"/>
      <c r="B37" s="68"/>
      <c r="C37" s="68"/>
      <c r="D37" s="68"/>
      <c r="E37" s="68"/>
      <c r="F37" s="68"/>
      <c r="S37" s="68"/>
      <c r="T37" s="68"/>
      <c r="U37" s="68"/>
      <c r="V37" s="68"/>
      <c r="W37" s="68"/>
      <c r="X37" s="68"/>
      <c r="Y37" s="68"/>
      <c r="Z37" s="68"/>
      <c r="AA37" s="68"/>
    </row>
    <row r="38" spans="1:27" x14ac:dyDescent="0.25">
      <c r="A38" s="68"/>
      <c r="B38" s="68"/>
      <c r="C38" s="68"/>
      <c r="D38" s="68"/>
      <c r="E38" s="68"/>
      <c r="F38" s="68"/>
      <c r="S38" s="68"/>
      <c r="T38" s="68"/>
      <c r="U38" s="68"/>
      <c r="V38" s="68"/>
      <c r="W38" s="68"/>
      <c r="X38" s="68"/>
      <c r="Y38" s="68"/>
      <c r="Z38" s="68"/>
      <c r="AA38" s="68"/>
    </row>
    <row r="39" spans="1:27" x14ac:dyDescent="0.25">
      <c r="A39" s="68"/>
      <c r="B39" s="68"/>
      <c r="C39" s="68"/>
      <c r="D39" s="68"/>
      <c r="E39" s="68"/>
      <c r="F39" s="68"/>
      <c r="S39" s="68"/>
      <c r="T39" s="68"/>
      <c r="U39" s="68"/>
      <c r="V39" s="68"/>
      <c r="W39" s="68"/>
      <c r="X39" s="68"/>
      <c r="Y39" s="68"/>
      <c r="Z39" s="68"/>
      <c r="AA39" s="68"/>
    </row>
    <row r="40" spans="1:27" x14ac:dyDescent="0.25">
      <c r="A40" s="68"/>
      <c r="B40" s="68"/>
      <c r="C40" s="68"/>
      <c r="D40" s="68"/>
      <c r="E40" s="68"/>
      <c r="F40" s="68"/>
      <c r="S40" s="68"/>
      <c r="T40" s="68"/>
      <c r="U40" s="68"/>
      <c r="V40" s="68"/>
      <c r="W40" s="68"/>
      <c r="X40" s="68"/>
      <c r="Y40" s="68"/>
      <c r="Z40" s="68"/>
      <c r="AA40" s="68"/>
    </row>
    <row r="41" spans="1:27" x14ac:dyDescent="0.25">
      <c r="A41" s="68"/>
      <c r="B41" s="68"/>
      <c r="C41" s="68"/>
      <c r="D41" s="68"/>
      <c r="E41" s="68"/>
      <c r="F41" s="68"/>
      <c r="S41" s="68"/>
      <c r="T41" s="68"/>
      <c r="U41" s="68"/>
      <c r="V41" s="68"/>
      <c r="W41" s="68"/>
      <c r="X41" s="68"/>
      <c r="Y41" s="68"/>
      <c r="Z41" s="68"/>
      <c r="AA41" s="68"/>
    </row>
    <row r="42" spans="1:27" x14ac:dyDescent="0.25">
      <c r="A42" s="68"/>
      <c r="B42" s="68"/>
      <c r="C42" s="68"/>
      <c r="D42" s="68"/>
      <c r="E42" s="68"/>
      <c r="F42" s="68"/>
      <c r="S42" s="68"/>
      <c r="T42" s="68"/>
      <c r="U42" s="68"/>
      <c r="V42" s="68"/>
      <c r="W42" s="68"/>
      <c r="X42" s="68"/>
      <c r="Y42" s="68"/>
      <c r="Z42" s="68"/>
      <c r="AA42" s="68"/>
    </row>
    <row r="43" spans="1:27" x14ac:dyDescent="0.25">
      <c r="A43" s="68"/>
      <c r="B43" s="68"/>
      <c r="C43" s="68"/>
      <c r="D43" s="68"/>
      <c r="E43" s="68"/>
      <c r="F43" s="68"/>
      <c r="S43" s="68"/>
      <c r="T43" s="68"/>
      <c r="U43" s="68"/>
      <c r="V43" s="68"/>
      <c r="W43" s="68"/>
      <c r="X43" s="68"/>
      <c r="Y43" s="68"/>
      <c r="Z43" s="68"/>
      <c r="AA43" s="68"/>
    </row>
    <row r="44" spans="1:27" x14ac:dyDescent="0.25">
      <c r="A44" s="68"/>
      <c r="B44" s="68"/>
      <c r="C44" s="68"/>
      <c r="D44" s="68"/>
      <c r="E44" s="68"/>
      <c r="F44" s="68"/>
      <c r="S44" s="68"/>
      <c r="T44" s="68"/>
      <c r="U44" s="68"/>
      <c r="V44" s="68"/>
      <c r="W44" s="68"/>
      <c r="X44" s="68"/>
      <c r="Y44" s="68"/>
      <c r="Z44" s="68"/>
      <c r="AA44" s="68"/>
    </row>
    <row r="45" spans="1:27" x14ac:dyDescent="0.25">
      <c r="A45" s="68"/>
      <c r="B45" s="68"/>
      <c r="C45" s="68"/>
      <c r="D45" s="68"/>
      <c r="E45" s="68"/>
      <c r="F45" s="68"/>
      <c r="S45" s="68"/>
      <c r="T45" s="68"/>
      <c r="U45" s="68"/>
      <c r="V45" s="68"/>
      <c r="W45" s="68"/>
      <c r="X45" s="68"/>
      <c r="Y45" s="68"/>
      <c r="Z45" s="68"/>
      <c r="AA45" s="68"/>
    </row>
    <row r="46" spans="1:27" x14ac:dyDescent="0.25">
      <c r="A46" s="68"/>
      <c r="B46" s="68"/>
      <c r="C46" s="68"/>
      <c r="D46" s="68"/>
      <c r="E46" s="68"/>
      <c r="F46" s="68"/>
      <c r="S46" s="68"/>
      <c r="T46" s="68"/>
      <c r="U46" s="68"/>
      <c r="V46" s="68"/>
      <c r="W46" s="68"/>
      <c r="X46" s="68"/>
      <c r="Y46" s="68"/>
      <c r="Z46" s="68"/>
      <c r="AA46" s="68"/>
    </row>
    <row r="47" spans="1:27" x14ac:dyDescent="0.25">
      <c r="A47" s="68"/>
      <c r="B47" s="68"/>
      <c r="C47" s="68"/>
      <c r="D47" s="68"/>
      <c r="E47" s="68"/>
      <c r="F47" s="68"/>
      <c r="S47" s="68"/>
      <c r="T47" s="68"/>
      <c r="U47" s="68"/>
      <c r="V47" s="68"/>
      <c r="W47" s="68"/>
      <c r="X47" s="68"/>
      <c r="Y47" s="68"/>
      <c r="Z47" s="68"/>
      <c r="AA47" s="68"/>
    </row>
    <row r="48" spans="1:27" x14ac:dyDescent="0.25">
      <c r="A48" s="68"/>
      <c r="B48" s="68"/>
      <c r="C48" s="68"/>
      <c r="D48" s="68"/>
      <c r="E48" s="68"/>
      <c r="F48" s="68"/>
      <c r="S48" s="68"/>
      <c r="T48" s="68"/>
      <c r="U48" s="68"/>
      <c r="V48" s="68"/>
      <c r="W48" s="68"/>
      <c r="X48" s="68"/>
      <c r="Y48" s="68"/>
      <c r="Z48" s="68"/>
      <c r="AA48" s="68"/>
    </row>
    <row r="49" spans="1:27" x14ac:dyDescent="0.25">
      <c r="A49" s="68"/>
      <c r="B49" s="68"/>
      <c r="C49" s="68"/>
      <c r="D49" s="68"/>
      <c r="E49" s="68"/>
      <c r="F49" s="68"/>
      <c r="S49" s="68"/>
      <c r="T49" s="68"/>
      <c r="U49" s="68"/>
      <c r="V49" s="68"/>
      <c r="W49" s="68"/>
      <c r="X49" s="68"/>
      <c r="Y49" s="68"/>
      <c r="Z49" s="68"/>
      <c r="AA49" s="68"/>
    </row>
    <row r="50" spans="1:27" x14ac:dyDescent="0.25">
      <c r="A50" s="68"/>
      <c r="B50" s="68"/>
      <c r="C50" s="68"/>
      <c r="D50" s="68"/>
      <c r="E50" s="68"/>
      <c r="F50" s="68"/>
      <c r="S50" s="68"/>
      <c r="T50" s="68"/>
      <c r="U50" s="68"/>
      <c r="V50" s="68"/>
      <c r="W50" s="68"/>
      <c r="X50" s="68"/>
      <c r="Y50" s="68"/>
      <c r="Z50" s="68"/>
      <c r="AA50" s="68"/>
    </row>
  </sheetData>
  <mergeCells count="4">
    <mergeCell ref="H2:Q2"/>
    <mergeCell ref="H7:Q7"/>
    <mergeCell ref="H15:K15"/>
    <mergeCell ref="L15:P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
  <sheetViews>
    <sheetView topLeftCell="A2" workbookViewId="0">
      <selection activeCell="A2" sqref="A2"/>
    </sheetView>
  </sheetViews>
  <sheetFormatPr defaultRowHeight="15" outlineLevelRow="1" outlineLevelCol="1" x14ac:dyDescent="0.25"/>
  <cols>
    <col min="1" max="1" width="5.140625" customWidth="1"/>
    <col min="2" max="2" width="26.28515625" customWidth="1"/>
    <col min="3" max="3" width="17.28515625" hidden="1" customWidth="1" outlineLevel="1"/>
    <col min="4" max="4" width="21.7109375" hidden="1" customWidth="1" outlineLevel="1"/>
    <col min="5" max="5" width="10.7109375" customWidth="1" collapsed="1"/>
    <col min="6" max="6" width="29.85546875" hidden="1" customWidth="1" outlineLevel="1"/>
    <col min="7" max="7" width="0.85546875" customWidth="1" collapsed="1"/>
    <col min="8" max="8" width="10.7109375" customWidth="1"/>
    <col min="9" max="9" width="11.7109375" customWidth="1"/>
    <col min="10" max="10" width="20.42578125" bestFit="1" customWidth="1"/>
    <col min="11" max="11" width="11.7109375" customWidth="1"/>
    <col min="12" max="13" width="10.7109375" customWidth="1"/>
    <col min="14" max="14" width="11.7109375" customWidth="1"/>
    <col min="15" max="15" width="0.85546875" customWidth="1"/>
    <col min="16" max="17" width="11.7109375" customWidth="1"/>
    <col min="18" max="18" width="15.5703125" customWidth="1"/>
    <col min="19" max="19" width="0.85546875" customWidth="1"/>
    <col min="20" max="20" width="10.85546875" customWidth="1"/>
    <col min="21" max="21" width="14.7109375" customWidth="1"/>
    <col min="22" max="22" width="10.5703125" customWidth="1"/>
    <col min="23" max="23" width="8.85546875" customWidth="1"/>
    <col min="24" max="24" width="10.28515625" customWidth="1"/>
    <col min="25" max="25" width="25.7109375" customWidth="1"/>
  </cols>
  <sheetData>
    <row r="1" spans="1:25" hidden="1" outlineLevel="1" x14ac:dyDescent="0.25">
      <c r="A1">
        <v>9</v>
      </c>
      <c r="H1" t="s">
        <v>56</v>
      </c>
      <c r="P1" t="s">
        <v>57</v>
      </c>
      <c r="Q1" t="s">
        <v>58</v>
      </c>
    </row>
    <row r="2" spans="1:25" ht="36" collapsed="1" x14ac:dyDescent="0.25">
      <c r="A2" s="1"/>
      <c r="B2" s="1" t="s">
        <v>0</v>
      </c>
      <c r="H2" s="2"/>
      <c r="I2" s="3"/>
      <c r="J2" s="2"/>
      <c r="K2" s="2"/>
      <c r="L2" s="2"/>
      <c r="M2" s="2"/>
      <c r="N2" s="2"/>
      <c r="Y2" s="4" t="s">
        <v>1</v>
      </c>
    </row>
    <row r="3" spans="1:25" ht="36" x14ac:dyDescent="0.35">
      <c r="A3" s="5"/>
      <c r="B3" s="5"/>
      <c r="G3" s="6"/>
      <c r="H3" s="58"/>
      <c r="I3" s="58"/>
      <c r="J3" s="58"/>
      <c r="K3" s="58"/>
      <c r="L3" s="58"/>
      <c r="M3" s="58"/>
      <c r="N3" s="59"/>
      <c r="O3" s="7"/>
      <c r="P3" s="60" t="s">
        <v>2</v>
      </c>
      <c r="Q3" s="61"/>
      <c r="R3" s="61"/>
      <c r="S3" s="61"/>
      <c r="T3" s="61"/>
      <c r="U3" s="61"/>
      <c r="V3" s="61"/>
      <c r="W3" s="61"/>
      <c r="X3" s="61"/>
      <c r="Y3" s="61"/>
    </row>
    <row r="4" spans="1:25" ht="23.25" x14ac:dyDescent="0.25">
      <c r="H4" s="62">
        <v>2016</v>
      </c>
      <c r="I4" s="63"/>
      <c r="J4" s="63"/>
      <c r="K4" s="63"/>
      <c r="L4" s="63"/>
      <c r="M4" s="63"/>
      <c r="N4" s="64"/>
      <c r="O4" s="8"/>
      <c r="P4" s="65" t="s">
        <v>3</v>
      </c>
      <c r="Q4" s="66"/>
      <c r="R4" s="67"/>
      <c r="S4" s="9"/>
      <c r="T4" s="66"/>
      <c r="U4" s="66"/>
      <c r="V4" s="66"/>
      <c r="W4" s="66"/>
      <c r="X4" s="66"/>
      <c r="Y4" s="67"/>
    </row>
    <row r="5" spans="1:25" ht="17.25" x14ac:dyDescent="0.25">
      <c r="A5" s="10"/>
      <c r="B5" s="11"/>
      <c r="C5" s="11"/>
      <c r="D5" s="12"/>
      <c r="E5" s="11"/>
      <c r="F5" s="11"/>
      <c r="G5" s="13"/>
      <c r="H5" s="11"/>
      <c r="I5" s="11"/>
      <c r="J5" s="11"/>
      <c r="K5" s="11"/>
      <c r="L5" s="11"/>
      <c r="M5" s="11"/>
      <c r="N5" s="11"/>
      <c r="O5" s="13"/>
      <c r="P5" s="55" t="s">
        <v>4</v>
      </c>
      <c r="Q5" s="56"/>
      <c r="R5" s="57"/>
      <c r="S5" s="14"/>
      <c r="T5" s="55" t="s">
        <v>5</v>
      </c>
      <c r="U5" s="56"/>
      <c r="V5" s="56"/>
      <c r="W5" s="56"/>
      <c r="X5" s="56"/>
      <c r="Y5" s="57"/>
    </row>
    <row r="6" spans="1:25" ht="78.75" x14ac:dyDescent="0.25">
      <c r="A6" s="15" t="s">
        <v>6</v>
      </c>
      <c r="B6" s="16" t="s">
        <v>7</v>
      </c>
      <c r="C6" s="17" t="s">
        <v>8</v>
      </c>
      <c r="D6" s="18" t="s">
        <v>9</v>
      </c>
      <c r="E6" s="19" t="s">
        <v>10</v>
      </c>
      <c r="F6" s="20" t="s">
        <v>11</v>
      </c>
      <c r="G6" s="21"/>
      <c r="H6" s="22" t="s">
        <v>12</v>
      </c>
      <c r="I6" s="22" t="s">
        <v>13</v>
      </c>
      <c r="J6" s="22" t="s">
        <v>65</v>
      </c>
      <c r="K6" s="22" t="s">
        <v>54</v>
      </c>
      <c r="L6" s="22" t="s">
        <v>14</v>
      </c>
      <c r="M6" s="22" t="s">
        <v>15</v>
      </c>
      <c r="N6" s="22" t="s">
        <v>55</v>
      </c>
      <c r="O6" s="9"/>
      <c r="P6" s="23" t="s">
        <v>16</v>
      </c>
      <c r="Q6" s="23" t="s">
        <v>17</v>
      </c>
      <c r="R6" s="23" t="s">
        <v>18</v>
      </c>
      <c r="S6" s="9"/>
      <c r="T6" s="22" t="s">
        <v>19</v>
      </c>
      <c r="U6" s="22" t="s">
        <v>20</v>
      </c>
      <c r="V6" s="22" t="s">
        <v>21</v>
      </c>
      <c r="W6" s="22" t="s">
        <v>16</v>
      </c>
      <c r="X6" s="22" t="s">
        <v>17</v>
      </c>
      <c r="Y6" s="22" t="s">
        <v>22</v>
      </c>
    </row>
    <row r="7" spans="1:25" x14ac:dyDescent="0.25">
      <c r="A7" s="24"/>
      <c r="H7" s="2"/>
      <c r="I7" s="3"/>
      <c r="J7" s="2"/>
      <c r="K7" s="2"/>
      <c r="L7" s="2"/>
      <c r="M7" s="2"/>
      <c r="N7" s="2"/>
      <c r="P7" s="25"/>
      <c r="Q7" s="25"/>
      <c r="T7" s="78">
        <v>42705</v>
      </c>
    </row>
    <row r="8" spans="1:25" x14ac:dyDescent="0.25">
      <c r="A8" s="26" t="s">
        <v>6</v>
      </c>
      <c r="B8" s="26" t="s">
        <v>23</v>
      </c>
      <c r="C8" s="26" t="s">
        <v>8</v>
      </c>
      <c r="D8" s="27" t="s">
        <v>9</v>
      </c>
      <c r="E8" s="26" t="s">
        <v>24</v>
      </c>
      <c r="F8" s="26" t="s">
        <v>11</v>
      </c>
      <c r="G8" s="27" t="s">
        <v>25</v>
      </c>
      <c r="H8" s="27" t="s">
        <v>12</v>
      </c>
      <c r="I8" s="27" t="s">
        <v>26</v>
      </c>
      <c r="J8" s="26" t="s">
        <v>64</v>
      </c>
      <c r="K8" s="27" t="s">
        <v>54</v>
      </c>
      <c r="L8" s="26" t="s">
        <v>27</v>
      </c>
      <c r="M8" s="26" t="s">
        <v>28</v>
      </c>
      <c r="N8" s="27" t="s">
        <v>55</v>
      </c>
      <c r="O8" s="27" t="s">
        <v>29</v>
      </c>
      <c r="P8" s="28" t="s">
        <v>59</v>
      </c>
      <c r="Q8" s="27" t="s">
        <v>60</v>
      </c>
      <c r="R8" s="27" t="s">
        <v>30</v>
      </c>
      <c r="S8" s="27" t="s">
        <v>31</v>
      </c>
      <c r="T8" s="27" t="s">
        <v>32</v>
      </c>
      <c r="U8" s="27" t="s">
        <v>33</v>
      </c>
      <c r="V8" s="29" t="s">
        <v>34</v>
      </c>
      <c r="W8" s="27" t="s">
        <v>35</v>
      </c>
      <c r="X8" s="27" t="s">
        <v>36</v>
      </c>
      <c r="Y8" s="27" t="s">
        <v>22</v>
      </c>
    </row>
    <row r="9" spans="1:25" ht="30" x14ac:dyDescent="0.25">
      <c r="A9" s="30">
        <f>SUBTOTAL(3,B$8:B9)-1</f>
        <v>1</v>
      </c>
      <c r="B9" s="31" t="s">
        <v>37</v>
      </c>
      <c r="C9" s="32" t="str">
        <f>MeritPlanning46[[#This Row],[Associate Name]]&amp;CHAR(10)&amp;MeritPlanning46[[#This Row],[Job Code Title]]</f>
        <v>Smith,John
Sales Manager</v>
      </c>
      <c r="D9" s="33" t="s">
        <v>38</v>
      </c>
      <c r="E9" s="34">
        <v>41701</v>
      </c>
      <c r="F9" s="35" t="s">
        <v>39</v>
      </c>
      <c r="G9" s="36" t="s">
        <v>40</v>
      </c>
      <c r="H9" s="37">
        <v>80000</v>
      </c>
      <c r="I9" s="37">
        <v>0</v>
      </c>
      <c r="J9" s="37">
        <v>124212.31</v>
      </c>
      <c r="K9" s="38">
        <f>MeritPlanning46[[#This Row],[Base]]+MeritPlanning46[[#This Row],[Bonus (2016 Annual)]]+MeritPlanning46[[#This Row],[Bonus (2016 Other)]]</f>
        <v>204212.31</v>
      </c>
      <c r="L9" s="39">
        <v>0</v>
      </c>
      <c r="M9" s="37">
        <v>0</v>
      </c>
      <c r="N9" s="37">
        <f>MeritPlanning46[[#This Row],[Total Cash]]+MeritPlanning46[[#This Row],[Stock (2016 Annual FMV)]]</f>
        <v>204212.31</v>
      </c>
      <c r="O9" s="40" t="s">
        <v>40</v>
      </c>
      <c r="P9" s="41">
        <v>0</v>
      </c>
      <c r="Q9" s="42">
        <v>0</v>
      </c>
      <c r="R9" s="37">
        <f>MeritPlanning46[[#This Row],[Base]]+MeritPlanning46[[#This Row],[Increase $]]</f>
        <v>80000</v>
      </c>
      <c r="S9" s="40" t="s">
        <v>40</v>
      </c>
      <c r="T9" s="43">
        <f>($T$7-MeritPlanning46[[#This Row],[Last Pay Rate Change Dt]])/365</f>
        <v>0.83835616438356164</v>
      </c>
      <c r="U9" s="38">
        <v>17284.8</v>
      </c>
      <c r="V9" s="44">
        <v>42399</v>
      </c>
      <c r="W9" s="45">
        <v>3.6283400000000001</v>
      </c>
      <c r="X9" s="38">
        <v>62715.200001999998</v>
      </c>
      <c r="Y9" s="46" t="s">
        <v>41</v>
      </c>
    </row>
    <row r="10" spans="1:25" ht="30" x14ac:dyDescent="0.25">
      <c r="A10" s="30">
        <f>SUBTOTAL(3,B$8:B10)-1</f>
        <v>2</v>
      </c>
      <c r="B10" s="31" t="s">
        <v>42</v>
      </c>
      <c r="C10" s="32" t="str">
        <f>MeritPlanning46[[#This Row],[Associate Name]]&amp;CHAR(10)&amp;MeritPlanning46[[#This Row],[Job Code Title]]</f>
        <v>Smith,John
Construction Manager</v>
      </c>
      <c r="D10" s="33" t="s">
        <v>38</v>
      </c>
      <c r="E10" s="34">
        <v>41491</v>
      </c>
      <c r="F10" s="35" t="s">
        <v>43</v>
      </c>
      <c r="G10" s="36" t="s">
        <v>40</v>
      </c>
      <c r="H10" s="37">
        <v>57000</v>
      </c>
      <c r="I10" s="37">
        <v>0</v>
      </c>
      <c r="J10" s="37">
        <v>142444.88</v>
      </c>
      <c r="K10" s="38">
        <f>MeritPlanning46[[#This Row],[Base]]+MeritPlanning46[[#This Row],[Bonus (2016 Annual)]]+MeritPlanning46[[#This Row],[Bonus (2016 Other)]]</f>
        <v>199444.88</v>
      </c>
      <c r="L10" s="39">
        <v>0</v>
      </c>
      <c r="M10" s="37">
        <v>0</v>
      </c>
      <c r="N10" s="37">
        <f>MeritPlanning46[[#This Row],[Total Cash]]+MeritPlanning46[[#This Row],[Stock (2016 Annual FMV)]]</f>
        <v>199444.88</v>
      </c>
      <c r="O10" s="40" t="s">
        <v>40</v>
      </c>
      <c r="P10" s="41">
        <v>0</v>
      </c>
      <c r="Q10" s="42">
        <v>0</v>
      </c>
      <c r="R10" s="37">
        <f>MeritPlanning46[[#This Row],[Base]]+MeritPlanning46[[#This Row],[Increase $]]</f>
        <v>57000</v>
      </c>
      <c r="S10" s="40" t="s">
        <v>40</v>
      </c>
      <c r="T10" s="43">
        <f>($T$7-MeritPlanning46[[#This Row],[Last Pay Rate Change Dt]])/365</f>
        <v>0.68493150684931503</v>
      </c>
      <c r="U10" s="38">
        <v>17284.8</v>
      </c>
      <c r="V10" s="44">
        <v>42455</v>
      </c>
      <c r="W10" s="45">
        <v>2.2977000000000003</v>
      </c>
      <c r="X10" s="38">
        <v>39715.199992000002</v>
      </c>
      <c r="Y10" s="46" t="s">
        <v>44</v>
      </c>
    </row>
    <row r="11" spans="1:25" ht="30" x14ac:dyDescent="0.25">
      <c r="A11" s="30">
        <f>SUBTOTAL(3,B$8:B11)-1</f>
        <v>3</v>
      </c>
      <c r="B11" s="31" t="s">
        <v>45</v>
      </c>
      <c r="C11" s="32" t="str">
        <f>MeritPlanning46[[#This Row],[Associate Name]]&amp;CHAR(10)&amp;MeritPlanning46[[#This Row],[Job Code Title]]</f>
        <v>Smith,John
VP Sales/Marketing</v>
      </c>
      <c r="D11" s="33" t="s">
        <v>38</v>
      </c>
      <c r="E11" s="34">
        <v>42093</v>
      </c>
      <c r="F11" s="35" t="s">
        <v>46</v>
      </c>
      <c r="G11" s="36" t="s">
        <v>40</v>
      </c>
      <c r="H11" s="37">
        <v>115000</v>
      </c>
      <c r="I11" s="37">
        <v>0</v>
      </c>
      <c r="J11" s="37">
        <v>50000</v>
      </c>
      <c r="K11" s="38">
        <f>MeritPlanning46[[#This Row],[Base]]+MeritPlanning46[[#This Row],[Bonus (2016 Annual)]]+MeritPlanning46[[#This Row],[Bonus (2016 Other)]]</f>
        <v>165000</v>
      </c>
      <c r="L11" s="39">
        <v>500</v>
      </c>
      <c r="M11" s="37">
        <v>22365</v>
      </c>
      <c r="N11" s="37">
        <f>MeritPlanning46[[#This Row],[Total Cash]]+MeritPlanning46[[#This Row],[Stock (2016 Annual FMV)]]</f>
        <v>187365</v>
      </c>
      <c r="O11" s="40" t="s">
        <v>40</v>
      </c>
      <c r="P11" s="41">
        <v>0</v>
      </c>
      <c r="Q11" s="42">
        <v>0</v>
      </c>
      <c r="R11" s="37">
        <f>MeritPlanning46[[#This Row],[Base]]+MeritPlanning46[[#This Row],[Increase $]]</f>
        <v>115000</v>
      </c>
      <c r="S11" s="40" t="s">
        <v>40</v>
      </c>
      <c r="T11" s="43">
        <f>($T$7-MeritPlanning46[[#This Row],[Last Pay Rate Change Dt]])/365</f>
        <v>0.83835616438356164</v>
      </c>
      <c r="U11" s="38">
        <v>80000</v>
      </c>
      <c r="V11" s="44">
        <v>42399</v>
      </c>
      <c r="W11" s="45">
        <v>0.4375</v>
      </c>
      <c r="X11" s="38">
        <v>34999.999995999999</v>
      </c>
      <c r="Y11" s="46" t="s">
        <v>41</v>
      </c>
    </row>
    <row r="12" spans="1:25" ht="30" x14ac:dyDescent="0.25">
      <c r="A12" s="30">
        <f>SUBTOTAL(3,B$8:B12)-1</f>
        <v>4</v>
      </c>
      <c r="B12" s="31" t="s">
        <v>37</v>
      </c>
      <c r="C12" s="32" t="str">
        <f>MeritPlanning46[[#This Row],[Associate Name]]&amp;CHAR(10)&amp;MeritPlanning46[[#This Row],[Job Code Title]]</f>
        <v>Smith,John
Sales Manager</v>
      </c>
      <c r="D12" s="33" t="s">
        <v>38</v>
      </c>
      <c r="E12" s="34">
        <v>41673</v>
      </c>
      <c r="F12" s="35" t="s">
        <v>39</v>
      </c>
      <c r="G12" s="36" t="s">
        <v>40</v>
      </c>
      <c r="H12" s="37">
        <v>80000</v>
      </c>
      <c r="I12" s="37">
        <v>0</v>
      </c>
      <c r="J12" s="37">
        <v>40030</v>
      </c>
      <c r="K12" s="38">
        <f>MeritPlanning46[[#This Row],[Base]]+MeritPlanning46[[#This Row],[Bonus (2016 Annual)]]+MeritPlanning46[[#This Row],[Bonus (2016 Other)]]</f>
        <v>120030</v>
      </c>
      <c r="L12" s="39">
        <v>0</v>
      </c>
      <c r="M12" s="37">
        <v>0</v>
      </c>
      <c r="N12" s="37">
        <f>MeritPlanning46[[#This Row],[Total Cash]]+MeritPlanning46[[#This Row],[Stock (2016 Annual FMV)]]</f>
        <v>120030</v>
      </c>
      <c r="O12" s="40" t="s">
        <v>40</v>
      </c>
      <c r="P12" s="41">
        <v>0</v>
      </c>
      <c r="Q12" s="42">
        <v>0</v>
      </c>
      <c r="R12" s="37">
        <f>MeritPlanning46[[#This Row],[Base]]+MeritPlanning46[[#This Row],[Increase $]]</f>
        <v>80000</v>
      </c>
      <c r="S12" s="40" t="s">
        <v>40</v>
      </c>
      <c r="T12" s="43">
        <f>($T$7-MeritPlanning46[[#This Row],[Last Pay Rate Change Dt]])/365</f>
        <v>0.99178082191780825</v>
      </c>
      <c r="U12" s="38">
        <v>71600</v>
      </c>
      <c r="V12" s="44">
        <v>42343</v>
      </c>
      <c r="W12" s="45">
        <v>0.11731999999999999</v>
      </c>
      <c r="X12" s="38">
        <v>8399.9999979999993</v>
      </c>
      <c r="Y12" s="46" t="s">
        <v>47</v>
      </c>
    </row>
    <row r="13" spans="1:25" ht="30" x14ac:dyDescent="0.25">
      <c r="A13" s="30">
        <f>SUBTOTAL(3,B$8:B13)-1</f>
        <v>5</v>
      </c>
      <c r="B13" s="31" t="s">
        <v>48</v>
      </c>
      <c r="C13" s="32" t="str">
        <f>MeritPlanning46[[#This Row],[Associate Name]]&amp;CHAR(10)&amp;MeritPlanning46[[#This Row],[Job Code Title]]</f>
        <v>Smith,John
Director of Construction</v>
      </c>
      <c r="D13" s="33" t="s">
        <v>38</v>
      </c>
      <c r="E13" s="34">
        <v>37333</v>
      </c>
      <c r="F13" s="35" t="s">
        <v>49</v>
      </c>
      <c r="G13" s="36" t="s">
        <v>40</v>
      </c>
      <c r="H13" s="37">
        <v>110000</v>
      </c>
      <c r="I13" s="37">
        <v>0</v>
      </c>
      <c r="J13" s="37">
        <v>10000</v>
      </c>
      <c r="K13" s="38">
        <f>MeritPlanning46[[#This Row],[Base]]+MeritPlanning46[[#This Row],[Bonus (2016 Annual)]]+MeritPlanning46[[#This Row],[Bonus (2016 Other)]]</f>
        <v>120000</v>
      </c>
      <c r="L13" s="39">
        <v>0</v>
      </c>
      <c r="M13" s="37">
        <v>0</v>
      </c>
      <c r="N13" s="37">
        <f>MeritPlanning46[[#This Row],[Total Cash]]+MeritPlanning46[[#This Row],[Stock (2016 Annual FMV)]]</f>
        <v>120000</v>
      </c>
      <c r="O13" s="40" t="s">
        <v>40</v>
      </c>
      <c r="P13" s="41">
        <v>0</v>
      </c>
      <c r="Q13" s="42">
        <v>0</v>
      </c>
      <c r="R13" s="37">
        <f>MeritPlanning46[[#This Row],[Base]]+MeritPlanning46[[#This Row],[Increase $]]</f>
        <v>110000</v>
      </c>
      <c r="S13" s="40" t="s">
        <v>40</v>
      </c>
      <c r="T13" s="43">
        <f>($T$7-MeritPlanning46[[#This Row],[Last Pay Rate Change Dt]])/365</f>
        <v>0.99178082191780825</v>
      </c>
      <c r="U13" s="38">
        <v>80000</v>
      </c>
      <c r="V13" s="44">
        <v>42343</v>
      </c>
      <c r="W13" s="45">
        <v>0.375</v>
      </c>
      <c r="X13" s="38">
        <v>30000.000004000001</v>
      </c>
      <c r="Y13" s="46" t="s">
        <v>41</v>
      </c>
    </row>
    <row r="14" spans="1:25" x14ac:dyDescent="0.25">
      <c r="H14" s="2"/>
      <c r="I14" s="2"/>
      <c r="J14" s="2"/>
      <c r="K14" s="2"/>
      <c r="L14" s="2"/>
      <c r="M14" s="2"/>
      <c r="N14" s="2"/>
    </row>
    <row r="15" spans="1:25" ht="36.75" customHeight="1" x14ac:dyDescent="0.25">
      <c r="H15" s="2"/>
      <c r="I15" s="2"/>
      <c r="J15" s="2"/>
      <c r="K15" s="2"/>
      <c r="L15" s="2"/>
      <c r="M15" s="2"/>
      <c r="N15" s="2"/>
      <c r="P15" s="47"/>
      <c r="Q15" s="47"/>
      <c r="R15" s="47"/>
      <c r="V15" s="51" t="s">
        <v>67</v>
      </c>
      <c r="W15" s="51"/>
      <c r="X15" s="51"/>
      <c r="Y15" s="51"/>
    </row>
    <row r="16" spans="1:25" ht="21" customHeight="1" x14ac:dyDescent="0.25">
      <c r="H16" s="2"/>
      <c r="I16" s="2"/>
      <c r="J16" s="2"/>
      <c r="K16" s="2"/>
      <c r="L16" s="2"/>
      <c r="M16" s="2"/>
      <c r="N16" s="2"/>
      <c r="P16" s="47"/>
      <c r="Q16" s="47"/>
      <c r="R16" s="48"/>
      <c r="V16" s="52" t="s">
        <v>50</v>
      </c>
      <c r="W16" s="53"/>
      <c r="X16" s="54"/>
      <c r="Y16" s="49">
        <f>SUBTOTAL(9,MeritPlanning46[Base])</f>
        <v>442000</v>
      </c>
    </row>
    <row r="17" spans="8:25" ht="21" customHeight="1" x14ac:dyDescent="0.25">
      <c r="H17" s="2"/>
      <c r="I17" s="2"/>
      <c r="J17" s="2"/>
      <c r="K17" s="2"/>
      <c r="L17" s="2"/>
      <c r="M17" s="2"/>
      <c r="N17" s="2"/>
      <c r="P17" s="47"/>
      <c r="Q17" s="47"/>
      <c r="R17" s="48"/>
      <c r="V17" s="52" t="s">
        <v>51</v>
      </c>
      <c r="W17" s="53"/>
      <c r="X17" s="54"/>
      <c r="Y17" s="50">
        <f>Y18/Y16</f>
        <v>0</v>
      </c>
    </row>
    <row r="18" spans="8:25" ht="21" customHeight="1" x14ac:dyDescent="0.25">
      <c r="H18" s="2"/>
      <c r="I18" s="2"/>
      <c r="J18" s="2"/>
      <c r="K18" s="2"/>
      <c r="L18" s="2"/>
      <c r="M18" s="2"/>
      <c r="N18" s="2"/>
      <c r="P18" s="47"/>
      <c r="Q18" s="47"/>
      <c r="R18" s="48"/>
      <c r="V18" s="52" t="s">
        <v>52</v>
      </c>
      <c r="W18" s="53"/>
      <c r="X18" s="54"/>
      <c r="Y18" s="49">
        <f>SUBTOTAL(9,MeritPlanning46[Increase $])</f>
        <v>0</v>
      </c>
    </row>
    <row r="19" spans="8:25" ht="21" customHeight="1" x14ac:dyDescent="0.25">
      <c r="H19" s="2"/>
      <c r="I19" s="2"/>
      <c r="J19" s="2"/>
      <c r="K19" s="2"/>
      <c r="L19" s="2"/>
      <c r="M19" s="2"/>
      <c r="N19" s="2"/>
      <c r="P19" s="47"/>
      <c r="Q19" s="47"/>
      <c r="R19" s="48"/>
      <c r="V19" s="52" t="s">
        <v>53</v>
      </c>
      <c r="W19" s="53"/>
      <c r="X19" s="54"/>
      <c r="Y19" s="49">
        <f>SUBTOTAL(9,MeritPlanning46[Recommended New Annual Base Salary])</f>
        <v>442000</v>
      </c>
    </row>
    <row r="20" spans="8:25" ht="21" customHeight="1" x14ac:dyDescent="0.25"/>
  </sheetData>
  <mergeCells count="12">
    <mergeCell ref="P5:R5"/>
    <mergeCell ref="T5:Y5"/>
    <mergeCell ref="H3:N3"/>
    <mergeCell ref="P3:Y3"/>
    <mergeCell ref="H4:N4"/>
    <mergeCell ref="P4:R4"/>
    <mergeCell ref="T4:Y4"/>
    <mergeCell ref="V15:Y15"/>
    <mergeCell ref="V16:X16"/>
    <mergeCell ref="V17:X17"/>
    <mergeCell ref="V18:X18"/>
    <mergeCell ref="V19:X19"/>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README</vt:lpstr>
      <vt:lpstr>Example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Ernesto Cruz</dc:creator>
  <cp:lastModifiedBy>Ernesto Cruz</cp:lastModifiedBy>
  <dcterms:created xsi:type="dcterms:W3CDTF">2018-01-29T20:21:35Z</dcterms:created>
  <dcterms:modified xsi:type="dcterms:W3CDTF">2018-01-29T21:56:03Z</dcterms:modified>
</cp:coreProperties>
</file>